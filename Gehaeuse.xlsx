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tz\Desktop\Getriebebeleg\"/>
    </mc:Choice>
  </mc:AlternateContent>
  <xr:revisionPtr revIDLastSave="0" documentId="8_{59C76F02-1A4D-41DE-A61D-78593EBC6AFE}" xr6:coauthVersionLast="47" xr6:coauthVersionMax="47" xr10:uidLastSave="{00000000-0000-0000-0000-000000000000}"/>
  <bookViews>
    <workbookView xWindow="-28920" yWindow="-120" windowWidth="29040" windowHeight="15840" xr2:uid="{00A14B68-A2AD-4ECC-9C3B-E61F0E1C96C6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7" i="1"/>
  <c r="F15" i="1"/>
  <c r="F14" i="1"/>
  <c r="F11" i="1"/>
  <c r="F9" i="1"/>
  <c r="F8" i="1"/>
  <c r="F6" i="1"/>
  <c r="F12" i="1"/>
  <c r="F5" i="1"/>
</calcChain>
</file>

<file path=xl/sharedStrings.xml><?xml version="1.0" encoding="utf-8"?>
<sst xmlns="http://schemas.openxmlformats.org/spreadsheetml/2006/main" count="34" uniqueCount="26">
  <si>
    <t>Lichte Gehäuse Länge</t>
  </si>
  <si>
    <t>l</t>
  </si>
  <si>
    <r>
      <t>s</t>
    </r>
    <r>
      <rPr>
        <vertAlign val="subscript"/>
        <sz val="11"/>
        <color theme="1"/>
        <rFont val="Calibri"/>
        <family val="2"/>
        <scheme val="minor"/>
      </rPr>
      <t>1</t>
    </r>
  </si>
  <si>
    <t>Wanddicke Unterteil</t>
  </si>
  <si>
    <t>Wanddicke Oberteil</t>
  </si>
  <si>
    <r>
      <t>s</t>
    </r>
    <r>
      <rPr>
        <vertAlign val="subscript"/>
        <sz val="11"/>
        <color theme="1"/>
        <rFont val="Calibri"/>
        <family val="2"/>
        <scheme val="minor"/>
      </rPr>
      <t>2</t>
    </r>
  </si>
  <si>
    <t>mm</t>
  </si>
  <si>
    <t>Flanschdicke</t>
  </si>
  <si>
    <r>
      <t>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s</t>
    </r>
    <r>
      <rPr>
        <vertAlign val="subscript"/>
        <sz val="11"/>
        <color theme="1"/>
        <rFont val="Calibri"/>
        <family val="2"/>
        <scheme val="minor"/>
      </rPr>
      <t>4</t>
    </r>
  </si>
  <si>
    <t>Flanschbreite</t>
  </si>
  <si>
    <r>
      <t>b</t>
    </r>
    <r>
      <rPr>
        <vertAlign val="subscript"/>
        <sz val="11"/>
        <color theme="1"/>
        <rFont val="Calibri"/>
        <family val="2"/>
        <scheme val="minor"/>
      </rPr>
      <t>1max</t>
    </r>
  </si>
  <si>
    <t>Flanschschrauben</t>
  </si>
  <si>
    <r>
      <t>d</t>
    </r>
    <r>
      <rPr>
        <vertAlign val="subscript"/>
        <sz val="11"/>
        <color theme="1"/>
        <rFont val="Calibri"/>
        <family val="2"/>
        <scheme val="minor"/>
      </rPr>
      <t>S</t>
    </r>
  </si>
  <si>
    <t>Abstand zueinander</t>
  </si>
  <si>
    <r>
      <t>l</t>
    </r>
    <r>
      <rPr>
        <vertAlign val="subscript"/>
        <sz val="11"/>
        <color theme="1"/>
        <rFont val="Calibri"/>
        <family val="2"/>
        <scheme val="minor"/>
      </rPr>
      <t>F</t>
    </r>
  </si>
  <si>
    <t>Fußleistendicke</t>
  </si>
  <si>
    <r>
      <t>s</t>
    </r>
    <r>
      <rPr>
        <vertAlign val="subscript"/>
        <sz val="11"/>
        <color theme="1"/>
        <rFont val="Calibri"/>
        <family val="2"/>
        <scheme val="minor"/>
      </rPr>
      <t>5</t>
    </r>
  </si>
  <si>
    <t>Fußleistenbreite</t>
  </si>
  <si>
    <r>
      <t>b</t>
    </r>
    <r>
      <rPr>
        <vertAlign val="subscript"/>
        <sz val="11"/>
        <color theme="1"/>
        <rFont val="Calibri"/>
        <family val="2"/>
        <scheme val="minor"/>
      </rPr>
      <t>2</t>
    </r>
  </si>
  <si>
    <t>Versteifungsrippen</t>
  </si>
  <si>
    <r>
      <t>s</t>
    </r>
    <r>
      <rPr>
        <vertAlign val="subscript"/>
        <sz val="11"/>
        <color theme="1"/>
        <rFont val="Calibri"/>
        <family val="2"/>
        <scheme val="minor"/>
      </rPr>
      <t>6</t>
    </r>
  </si>
  <si>
    <t>Außendurchmesser_Lager</t>
  </si>
  <si>
    <r>
      <t>d</t>
    </r>
    <r>
      <rPr>
        <vertAlign val="subscript"/>
        <sz val="11"/>
        <color theme="1"/>
        <rFont val="Calibri"/>
        <family val="2"/>
        <scheme val="minor"/>
      </rPr>
      <t>1</t>
    </r>
  </si>
  <si>
    <t>1,4*LAGERAUßENDURCHMESSER</t>
  </si>
  <si>
    <t>Durchmesser Fundamantschrauben</t>
  </si>
  <si>
    <r>
      <t>d</t>
    </r>
    <r>
      <rPr>
        <vertAlign val="subscript"/>
        <sz val="11"/>
        <color theme="1"/>
        <rFont val="Calibri"/>
        <family val="2"/>
        <scheme val="minor"/>
      </rPr>
      <t>Fu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</si>
</sst>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77BC-773C-4320-B763-B40C559662C3}">
  <dimension ref="C3:I20"/>
  <sheetViews>
    <sheetView tabSelected="1" workbookViewId="0">
      <selection activeCell="H5" sqref="H5"/>
    </sheetView>
  </sheetViews>
  <sheetFormatPr baseColWidth="10" defaultRowHeight="14.5" x14ac:dyDescent="0.35"/>
  <cols>
    <col min="1" max="2" width="10.90625" style="1"/>
    <col min="3" max="3" width="22.7265625" style="1" bestFit="1" customWidth="1"/>
    <col min="4" max="7" width="10.90625" style="1"/>
    <col min="8" max="8" width="10.90625" style="2"/>
    <col min="9" max="16384" width="10.90625" style="1"/>
  </cols>
  <sheetData>
    <row r="3" spans="3:9" x14ac:dyDescent="0.35">
      <c r="C3" s="1" t="s">
        <v>0</v>
      </c>
      <c r="E3" s="1" t="s">
        <v>1</v>
      </c>
      <c r="F3" s="1">
        <v>562</v>
      </c>
    </row>
    <row r="5" spans="3:9" ht="16.5" x14ac:dyDescent="0.45">
      <c r="C5" s="1" t="s">
        <v>3</v>
      </c>
      <c r="E5" s="1" t="s">
        <v>2</v>
      </c>
      <c r="F5" s="1">
        <f>F3*0.01+6</f>
        <v>11.620000000000001</v>
      </c>
      <c r="H5" s="2">
        <v>11</v>
      </c>
      <c r="I5" s="1" t="s">
        <v>6</v>
      </c>
    </row>
    <row r="6" spans="3:9" ht="16.5" x14ac:dyDescent="0.45">
      <c r="C6" s="1" t="s">
        <v>4</v>
      </c>
      <c r="E6" s="1" t="s">
        <v>5</v>
      </c>
      <c r="F6" s="1">
        <f>0.8*H5</f>
        <v>8.8000000000000007</v>
      </c>
      <c r="H6" s="2">
        <v>9</v>
      </c>
      <c r="I6" s="1" t="s">
        <v>6</v>
      </c>
    </row>
    <row r="8" spans="3:9" ht="16.5" x14ac:dyDescent="0.45">
      <c r="C8" s="1" t="s">
        <v>7</v>
      </c>
      <c r="E8" s="1" t="s">
        <v>8</v>
      </c>
      <c r="F8" s="1">
        <f>1.5*H5</f>
        <v>16.5</v>
      </c>
      <c r="H8" s="2">
        <v>17</v>
      </c>
      <c r="I8" s="1" t="s">
        <v>6</v>
      </c>
    </row>
    <row r="9" spans="3:9" ht="16.5" x14ac:dyDescent="0.45">
      <c r="C9" s="1" t="s">
        <v>9</v>
      </c>
      <c r="E9" s="1" t="s">
        <v>10</v>
      </c>
      <c r="F9" s="1">
        <f>3*H5+10</f>
        <v>43</v>
      </c>
      <c r="H9" s="2">
        <v>43</v>
      </c>
      <c r="I9" s="1" t="s">
        <v>6</v>
      </c>
    </row>
    <row r="11" spans="3:9" ht="16.5" x14ac:dyDescent="0.45">
      <c r="C11" s="1" t="s">
        <v>11</v>
      </c>
      <c r="E11" s="1" t="s">
        <v>12</v>
      </c>
      <c r="F11" s="1">
        <f>1.2*H5</f>
        <v>13.2</v>
      </c>
      <c r="H11" s="2">
        <v>14</v>
      </c>
      <c r="I11" s="1" t="s">
        <v>6</v>
      </c>
    </row>
    <row r="12" spans="3:9" ht="16.5" x14ac:dyDescent="0.45">
      <c r="C12" s="1" t="s">
        <v>13</v>
      </c>
      <c r="E12" s="1" t="s">
        <v>14</v>
      </c>
      <c r="F12" s="1">
        <f>8*H11</f>
        <v>112</v>
      </c>
    </row>
    <row r="14" spans="3:9" ht="16.5" x14ac:dyDescent="0.45">
      <c r="C14" s="1" t="s">
        <v>15</v>
      </c>
      <c r="E14" s="1" t="s">
        <v>16</v>
      </c>
      <c r="F14" s="1">
        <f>3*H5</f>
        <v>33</v>
      </c>
      <c r="H14" s="2">
        <v>33</v>
      </c>
      <c r="I14" s="1" t="s">
        <v>6</v>
      </c>
    </row>
    <row r="15" spans="3:9" ht="16.5" x14ac:dyDescent="0.45">
      <c r="C15" s="1" t="s">
        <v>17</v>
      </c>
      <c r="E15" s="1" t="s">
        <v>18</v>
      </c>
      <c r="F15" s="1">
        <f>3.5*H5+15</f>
        <v>53.5</v>
      </c>
      <c r="H15" s="2">
        <v>54</v>
      </c>
      <c r="I15" s="1" t="s">
        <v>6</v>
      </c>
    </row>
    <row r="17" spans="3:9" ht="16.5" x14ac:dyDescent="0.45">
      <c r="C17" s="1" t="s">
        <v>19</v>
      </c>
      <c r="E17" s="1" t="s">
        <v>20</v>
      </c>
      <c r="F17" s="1">
        <f>0.7*H5</f>
        <v>7.6999999999999993</v>
      </c>
      <c r="H17" s="2">
        <v>8</v>
      </c>
      <c r="I17" s="1" t="s">
        <v>6</v>
      </c>
    </row>
    <row r="18" spans="3:9" ht="16.5" x14ac:dyDescent="0.45">
      <c r="C18" s="1" t="s">
        <v>21</v>
      </c>
      <c r="E18" s="1" t="s">
        <v>22</v>
      </c>
      <c r="F18" s="1" t="s">
        <v>23</v>
      </c>
    </row>
    <row r="20" spans="3:9" ht="16.5" x14ac:dyDescent="0.45">
      <c r="C20" s="1" t="s">
        <v>24</v>
      </c>
      <c r="E20" s="1" t="s">
        <v>25</v>
      </c>
      <c r="F20" s="1">
        <f>1.6*H5</f>
        <v>17.600000000000001</v>
      </c>
      <c r="H20" s="2">
        <v>18</v>
      </c>
      <c r="I20" s="1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</cp:lastModifiedBy>
  <dcterms:created xsi:type="dcterms:W3CDTF">2021-06-07T08:06:17Z</dcterms:created>
  <dcterms:modified xsi:type="dcterms:W3CDTF">2021-06-16T20:15:53Z</dcterms:modified>
</cp:coreProperties>
</file>