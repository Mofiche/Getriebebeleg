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13_ncr:1_{13A408E0-B0B8-4AE8-BB0D-BD1C0C7614DA}" xr6:coauthVersionLast="47" xr6:coauthVersionMax="47" xr10:uidLastSave="{00000000-0000-0000-0000-000000000000}"/>
  <bookViews>
    <workbookView xWindow="-110" yWindow="-110" windowWidth="38620" windowHeight="21220" xr2:uid="{926A924D-D7AC-4402-ACA1-82EB8F8A49D7}"/>
  </bookViews>
  <sheets>
    <sheet name="Tabelle1" sheetId="1" r:id="rId1"/>
  </sheets>
  <definedNames>
    <definedName name="solver_adj" localSheetId="0" hidden="1">Tabelle1!$C$21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Tabelle1!$P$16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 s="1"/>
  <c r="G10" i="1"/>
  <c r="G12" i="1"/>
  <c r="C24" i="1"/>
  <c r="C25" i="1"/>
  <c r="C27" i="1"/>
  <c r="C28" i="1" s="1"/>
  <c r="C32" i="1"/>
  <c r="G32" i="1"/>
  <c r="C33" i="1"/>
  <c r="G33" i="1"/>
  <c r="C34" i="1"/>
  <c r="G34" i="1"/>
  <c r="G37" i="1" s="1"/>
  <c r="C37" i="1"/>
  <c r="C43" i="1"/>
  <c r="C75" i="1" s="1"/>
  <c r="C49" i="1"/>
  <c r="C52" i="1"/>
  <c r="C60" i="1"/>
  <c r="L67" i="1"/>
  <c r="G68" i="1"/>
  <c r="G72" i="1" s="1"/>
  <c r="I69" i="1"/>
  <c r="L69" i="1"/>
  <c r="G70" i="1"/>
  <c r="D73" i="1"/>
  <c r="L66" i="1" l="1"/>
  <c r="C26" i="1"/>
  <c r="C29" i="1" s="1"/>
  <c r="C36" i="1" s="1"/>
  <c r="C39" i="1"/>
  <c r="P20" i="1" s="1"/>
  <c r="C22" i="1"/>
  <c r="G67" i="1"/>
  <c r="C66" i="1"/>
  <c r="G74" i="1" s="1"/>
  <c r="G39" i="1"/>
  <c r="R20" i="1" s="1"/>
  <c r="C38" i="1"/>
  <c r="P22" i="1" l="1"/>
  <c r="P24" i="1"/>
  <c r="R22" i="1"/>
  <c r="R24" i="1"/>
  <c r="G66" i="1"/>
  <c r="C70" i="1" s="1"/>
  <c r="G35" i="1"/>
  <c r="L31" i="1"/>
  <c r="G36" i="1" l="1"/>
  <c r="C41" i="1" s="1"/>
  <c r="G38" i="1"/>
  <c r="C74" i="1" l="1"/>
  <c r="C45" i="1" a="1"/>
  <c r="C45" i="1" s="1"/>
  <c r="L68" i="1"/>
  <c r="C63" i="1" s="1"/>
  <c r="C62" i="1" s="1"/>
  <c r="G61" i="1" s="1"/>
  <c r="P18" i="1" s="1"/>
  <c r="E41" i="1"/>
  <c r="C55" i="1" l="1"/>
  <c r="C54" i="1" s="1"/>
  <c r="G54" i="1" s="1"/>
  <c r="P16" i="1" s="1"/>
  <c r="C58" i="1"/>
  <c r="C57" i="1" s="1"/>
  <c r="G57" i="1" s="1"/>
  <c r="R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<sst xmlns="http://schemas.openxmlformats.org/spreadsheetml/2006/main" count="169" uniqueCount="119">
  <si>
    <t>Zahnradberechnung</t>
  </si>
  <si>
    <t>Entwurf</t>
  </si>
  <si>
    <r>
      <t>K</t>
    </r>
    <r>
      <rPr>
        <vertAlign val="subscript"/>
        <sz val="11"/>
        <rFont val="Calibri"/>
        <family val="2"/>
        <scheme val="minor"/>
      </rPr>
      <t>A</t>
    </r>
  </si>
  <si>
    <t>P</t>
  </si>
  <si>
    <t>n</t>
  </si>
  <si>
    <t>M</t>
  </si>
  <si>
    <t>Nm</t>
  </si>
  <si>
    <r>
      <t>z</t>
    </r>
    <r>
      <rPr>
        <vertAlign val="subscript"/>
        <sz val="11"/>
        <rFont val="Calibri"/>
        <family val="2"/>
        <scheme val="minor"/>
      </rPr>
      <t>1</t>
    </r>
  </si>
  <si>
    <r>
      <t>z</t>
    </r>
    <r>
      <rPr>
        <vertAlign val="subscript"/>
        <sz val="11"/>
        <rFont val="Calibri"/>
        <family val="2"/>
        <scheme val="minor"/>
      </rPr>
      <t>2</t>
    </r>
  </si>
  <si>
    <t>u=i</t>
  </si>
  <si>
    <r>
      <t>i</t>
    </r>
    <r>
      <rPr>
        <vertAlign val="subscript"/>
        <sz val="11"/>
        <rFont val="Calibri"/>
        <family val="2"/>
        <scheme val="minor"/>
      </rPr>
      <t>soll</t>
    </r>
  </si>
  <si>
    <t>Δi</t>
  </si>
  <si>
    <t>%</t>
  </si>
  <si>
    <t>β</t>
  </si>
  <si>
    <t>°</t>
  </si>
  <si>
    <t>kW</t>
  </si>
  <si>
    <r>
      <t>min</t>
    </r>
    <r>
      <rPr>
        <vertAlign val="superscript"/>
        <sz val="11"/>
        <rFont val="Calibri"/>
        <family val="2"/>
        <scheme val="minor"/>
      </rPr>
      <t>-1</t>
    </r>
  </si>
  <si>
    <r>
      <t>σ</t>
    </r>
    <r>
      <rPr>
        <vertAlign val="subscript"/>
        <sz val="11"/>
        <rFont val="Calibri"/>
        <family val="2"/>
      </rPr>
      <t>Flim</t>
    </r>
  </si>
  <si>
    <r>
      <t>σ</t>
    </r>
    <r>
      <rPr>
        <vertAlign val="subscript"/>
        <sz val="11"/>
        <rFont val="Calibri"/>
        <family val="2"/>
        <scheme val="minor"/>
      </rPr>
      <t>Hlim</t>
    </r>
  </si>
  <si>
    <t>MPa</t>
  </si>
  <si>
    <t>mm</t>
  </si>
  <si>
    <r>
      <t>berechnetes m</t>
    </r>
    <r>
      <rPr>
        <vertAlign val="subscript"/>
        <sz val="11"/>
        <rFont val="Calibri"/>
        <family val="2"/>
        <scheme val="minor"/>
      </rPr>
      <t>n</t>
    </r>
  </si>
  <si>
    <r>
      <t>gewähltes m</t>
    </r>
    <r>
      <rPr>
        <b/>
        <vertAlign val="subscript"/>
        <sz val="11"/>
        <rFont val="Calibri"/>
        <family val="2"/>
        <scheme val="minor"/>
      </rPr>
      <t>n</t>
    </r>
  </si>
  <si>
    <t>Gehärtete ZR</t>
  </si>
  <si>
    <t>vergütete ZR</t>
  </si>
  <si>
    <t>a</t>
  </si>
  <si>
    <r>
      <t>a</t>
    </r>
    <r>
      <rPr>
        <vertAlign val="subscript"/>
        <sz val="11"/>
        <rFont val="Calibri"/>
        <family val="2"/>
        <scheme val="minor"/>
      </rPr>
      <t>d</t>
    </r>
  </si>
  <si>
    <r>
      <t>m</t>
    </r>
    <r>
      <rPr>
        <vertAlign val="subscript"/>
        <sz val="11"/>
        <rFont val="Calibri"/>
        <family val="2"/>
        <scheme val="minor"/>
      </rPr>
      <t>t</t>
    </r>
  </si>
  <si>
    <t>(x1+x2)</t>
  </si>
  <si>
    <r>
      <t>α</t>
    </r>
    <r>
      <rPr>
        <vertAlign val="subscript"/>
        <sz val="11"/>
        <rFont val="Calibri"/>
        <family val="2"/>
        <scheme val="minor"/>
      </rPr>
      <t>t</t>
    </r>
  </si>
  <si>
    <r>
      <t>α=α</t>
    </r>
    <r>
      <rPr>
        <vertAlign val="subscript"/>
        <sz val="11"/>
        <rFont val="Calibri"/>
        <family val="2"/>
      </rPr>
      <t>n</t>
    </r>
  </si>
  <si>
    <r>
      <t>α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=α</t>
    </r>
    <r>
      <rPr>
        <vertAlign val="subscript"/>
        <sz val="11"/>
        <rFont val="Calibri"/>
        <family val="2"/>
        <scheme val="minor"/>
      </rPr>
      <t>wt</t>
    </r>
  </si>
  <si>
    <t>Ritzel</t>
  </si>
  <si>
    <t>Rad</t>
  </si>
  <si>
    <r>
      <t>d</t>
    </r>
    <r>
      <rPr>
        <vertAlign val="subscript"/>
        <sz val="11"/>
        <rFont val="Calibri"/>
        <family val="2"/>
        <scheme val="minor"/>
      </rPr>
      <t>1</t>
    </r>
  </si>
  <si>
    <r>
      <t>d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</si>
  <si>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a1</t>
    </r>
  </si>
  <si>
    <t>k*</t>
  </si>
  <si>
    <r>
      <t>x</t>
    </r>
    <r>
      <rPr>
        <vertAlign val="subscript"/>
        <sz val="11"/>
        <rFont val="Calibri"/>
        <family val="2"/>
        <scheme val="minor"/>
      </rPr>
      <t>1</t>
    </r>
  </si>
  <si>
    <r>
      <t>x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</si>
  <si>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a2</t>
    </r>
  </si>
  <si>
    <r>
      <t>d</t>
    </r>
    <r>
      <rPr>
        <vertAlign val="subscript"/>
        <sz val="11"/>
        <rFont val="Calibri"/>
        <family val="2"/>
        <scheme val="minor"/>
      </rPr>
      <t>b1</t>
    </r>
  </si>
  <si>
    <r>
      <t>d</t>
    </r>
    <r>
      <rPr>
        <vertAlign val="subscript"/>
        <sz val="11"/>
        <rFont val="Calibri"/>
        <family val="2"/>
        <scheme val="minor"/>
      </rPr>
      <t>b2</t>
    </r>
  </si>
  <si>
    <r>
      <t>d</t>
    </r>
    <r>
      <rPr>
        <vertAlign val="subscript"/>
        <sz val="11"/>
        <rFont val="Calibri"/>
        <family val="2"/>
        <scheme val="minor"/>
      </rPr>
      <t>f1</t>
    </r>
  </si>
  <si>
    <r>
      <t>d</t>
    </r>
    <r>
      <rPr>
        <vertAlign val="subscript"/>
        <sz val="11"/>
        <rFont val="Calibri"/>
        <family val="2"/>
        <scheme val="minor"/>
      </rPr>
      <t>f2</t>
    </r>
  </si>
  <si>
    <r>
      <t>d</t>
    </r>
    <r>
      <rPr>
        <vertAlign val="subscript"/>
        <sz val="11"/>
        <rFont val="Calibri"/>
        <family val="2"/>
        <scheme val="minor"/>
      </rPr>
      <t>w1</t>
    </r>
  </si>
  <si>
    <r>
      <t>d</t>
    </r>
    <r>
      <rPr>
        <vertAlign val="subscript"/>
        <sz val="11"/>
        <rFont val="Calibri"/>
        <family val="2"/>
        <scheme val="minor"/>
      </rPr>
      <t>w2</t>
    </r>
  </si>
  <si>
    <t>=&gt;</t>
  </si>
  <si>
    <t xml:space="preserve"> Zwei Zähne im Einsatz</t>
  </si>
  <si>
    <r>
      <t>ε</t>
    </r>
    <r>
      <rPr>
        <vertAlign val="subscript"/>
        <sz val="11"/>
        <rFont val="Calibri"/>
        <family val="2"/>
      </rPr>
      <t>α</t>
    </r>
  </si>
  <si>
    <r>
      <t>ε</t>
    </r>
    <r>
      <rPr>
        <vertAlign val="subscript"/>
        <sz val="11"/>
        <rFont val="Calibri"/>
        <family val="2"/>
        <scheme val="minor"/>
      </rPr>
      <t>β</t>
    </r>
  </si>
  <si>
    <t>b</t>
  </si>
  <si>
    <r>
      <rPr>
        <sz val="11"/>
        <rFont val="Calibri"/>
        <family val="2"/>
      </rPr>
      <t>ε</t>
    </r>
    <r>
      <rPr>
        <vertAlign val="subscript"/>
        <sz val="11"/>
        <rFont val="Calibri"/>
        <family val="2"/>
      </rPr>
      <t>γ</t>
    </r>
  </si>
  <si>
    <t>wenn ganzzahlig dann relativ geräuscharm</t>
  </si>
  <si>
    <r>
      <t>z</t>
    </r>
    <r>
      <rPr>
        <vertAlign val="subscript"/>
        <sz val="11"/>
        <rFont val="Calibri"/>
        <family val="2"/>
        <scheme val="minor"/>
      </rPr>
      <t>n2</t>
    </r>
  </si>
  <si>
    <r>
      <t>z</t>
    </r>
    <r>
      <rPr>
        <vertAlign val="subscript"/>
        <sz val="11"/>
        <rFont val="Calibri"/>
        <family val="2"/>
        <scheme val="minor"/>
      </rPr>
      <t>n1</t>
    </r>
  </si>
  <si>
    <t>Festigkeitsberechnungen</t>
  </si>
  <si>
    <r>
      <t>F</t>
    </r>
    <r>
      <rPr>
        <vertAlign val="subscript"/>
        <sz val="11"/>
        <rFont val="Calibri"/>
        <family val="2"/>
        <scheme val="minor"/>
      </rPr>
      <t>t</t>
    </r>
  </si>
  <si>
    <t>N</t>
  </si>
  <si>
    <r>
      <rPr>
        <sz val="11"/>
        <rFont val="Calibri"/>
        <family val="2"/>
      </rPr>
      <t>σ</t>
    </r>
    <r>
      <rPr>
        <vertAlign val="subscript"/>
        <sz val="11"/>
        <rFont val="Calibri"/>
        <family val="2"/>
      </rPr>
      <t>FG</t>
    </r>
  </si>
  <si>
    <r>
      <t>K</t>
    </r>
    <r>
      <rPr>
        <vertAlign val="subscript"/>
        <sz val="11"/>
        <rFont val="Calibri"/>
        <family val="2"/>
        <scheme val="minor"/>
      </rPr>
      <t>V</t>
    </r>
  </si>
  <si>
    <r>
      <t>K</t>
    </r>
    <r>
      <rPr>
        <vertAlign val="subscript"/>
        <sz val="11"/>
        <rFont val="Calibri"/>
        <family val="2"/>
        <scheme val="minor"/>
      </rPr>
      <t>2</t>
    </r>
  </si>
  <si>
    <r>
      <t>K</t>
    </r>
    <r>
      <rPr>
        <vertAlign val="subscript"/>
        <sz val="11"/>
        <rFont val="Calibri"/>
        <family val="2"/>
        <scheme val="minor"/>
      </rPr>
      <t>1</t>
    </r>
  </si>
  <si>
    <t xml:space="preserve"> II 10/8</t>
  </si>
  <si>
    <t>II 10/10</t>
  </si>
  <si>
    <r>
      <t>Y</t>
    </r>
    <r>
      <rPr>
        <vertAlign val="subscript"/>
        <sz val="11"/>
        <rFont val="Calibri"/>
        <family val="2"/>
        <scheme val="minor"/>
      </rPr>
      <t>ε</t>
    </r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</si>
  <si>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</si>
  <si>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Fα</t>
    </r>
  </si>
  <si>
    <r>
      <t>K</t>
    </r>
    <r>
      <rPr>
        <vertAlign val="subscript"/>
        <sz val="11"/>
        <rFont val="Calibri"/>
        <family val="2"/>
        <scheme val="minor"/>
      </rPr>
      <t>Fβ</t>
    </r>
  </si>
  <si>
    <r>
      <t>K</t>
    </r>
    <r>
      <rPr>
        <vertAlign val="subscript"/>
        <sz val="11"/>
        <rFont val="Calibri"/>
        <family val="2"/>
        <scheme val="minor"/>
      </rPr>
      <t>Hβ</t>
    </r>
  </si>
  <si>
    <r>
      <t>F</t>
    </r>
    <r>
      <rPr>
        <vertAlign val="subscript"/>
        <sz val="11"/>
        <rFont val="Calibri"/>
        <family val="2"/>
        <scheme val="minor"/>
      </rPr>
      <t>βy</t>
    </r>
  </si>
  <si>
    <r>
      <t>F</t>
    </r>
    <r>
      <rPr>
        <vertAlign val="subscript"/>
        <sz val="11"/>
        <rFont val="Calibri"/>
        <family val="2"/>
        <scheme val="minor"/>
      </rPr>
      <t>βx</t>
    </r>
  </si>
  <si>
    <r>
      <t>f</t>
    </r>
    <r>
      <rPr>
        <vertAlign val="subscript"/>
        <sz val="11"/>
        <rFont val="Calibri"/>
        <family val="2"/>
        <scheme val="minor"/>
      </rPr>
      <t>sh</t>
    </r>
  </si>
  <si>
    <r>
      <t>f</t>
    </r>
    <r>
      <rPr>
        <vertAlign val="subscript"/>
        <sz val="11"/>
        <rFont val="Calibri"/>
        <family val="2"/>
        <scheme val="minor"/>
      </rPr>
      <t>ma</t>
    </r>
  </si>
  <si>
    <t>μm</t>
  </si>
  <si>
    <r>
      <t>f</t>
    </r>
    <r>
      <rPr>
        <vertAlign val="subscript"/>
        <sz val="11"/>
        <rFont val="Calibri"/>
        <family val="2"/>
        <scheme val="minor"/>
      </rPr>
      <t>Hβ</t>
    </r>
  </si>
  <si>
    <t xml:space="preserve"> II 10/9</t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</si>
  <si>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</si>
  <si>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F</t>
    </r>
    <r>
      <rPr>
        <vertAlign val="subscript"/>
        <sz val="11"/>
        <rFont val="Calibri"/>
        <family val="2"/>
        <scheme val="minor"/>
      </rPr>
      <t>m</t>
    </r>
    <r>
      <rPr>
        <sz val="11"/>
        <rFont val="Calibri"/>
        <family val="2"/>
        <scheme val="minor"/>
      </rPr>
      <t>/b</t>
    </r>
  </si>
  <si>
    <t>N/mm</t>
  </si>
  <si>
    <r>
      <t>Y</t>
    </r>
    <r>
      <rPr>
        <vertAlign val="subscript"/>
        <sz val="11"/>
        <rFont val="Calibri"/>
        <family val="2"/>
        <scheme val="minor"/>
      </rPr>
      <t>FS2</t>
    </r>
  </si>
  <si>
    <r>
      <t>Y</t>
    </r>
    <r>
      <rPr>
        <vertAlign val="subscript"/>
        <sz val="11"/>
        <rFont val="Calibri"/>
        <family val="2"/>
        <scheme val="minor"/>
      </rPr>
      <t>FS1</t>
    </r>
  </si>
  <si>
    <r>
      <t>σ</t>
    </r>
    <r>
      <rPr>
        <vertAlign val="subscript"/>
        <sz val="11"/>
        <rFont val="Calibri"/>
        <family val="2"/>
      </rPr>
      <t>F1</t>
    </r>
  </si>
  <si>
    <r>
      <t>σ</t>
    </r>
    <r>
      <rPr>
        <vertAlign val="subscript"/>
        <sz val="11"/>
        <rFont val="Calibri"/>
        <family val="2"/>
      </rPr>
      <t>FO1</t>
    </r>
  </si>
  <si>
    <t xml:space="preserve">Ritzel </t>
  </si>
  <si>
    <r>
      <t>S</t>
    </r>
    <r>
      <rPr>
        <b/>
        <vertAlign val="subscript"/>
        <sz val="11"/>
        <rFont val="Calibri"/>
        <family val="2"/>
        <scheme val="minor"/>
      </rPr>
      <t>F1</t>
    </r>
  </si>
  <si>
    <r>
      <t>S</t>
    </r>
    <r>
      <rPr>
        <b/>
        <vertAlign val="subscript"/>
        <sz val="11"/>
        <rFont val="Calibri"/>
        <family val="2"/>
        <scheme val="minor"/>
      </rPr>
      <t>F2</t>
    </r>
  </si>
  <si>
    <r>
      <t>σ</t>
    </r>
    <r>
      <rPr>
        <vertAlign val="subscript"/>
        <sz val="11"/>
        <rFont val="Calibri"/>
        <family val="2"/>
      </rPr>
      <t>HG</t>
    </r>
  </si>
  <si>
    <r>
      <t>σ</t>
    </r>
    <r>
      <rPr>
        <vertAlign val="subscript"/>
        <sz val="11"/>
        <rFont val="Calibri"/>
        <family val="2"/>
      </rPr>
      <t>FO2</t>
    </r>
  </si>
  <si>
    <r>
      <t>σ</t>
    </r>
    <r>
      <rPr>
        <vertAlign val="subscript"/>
        <sz val="11"/>
        <rFont val="Calibri"/>
        <family val="2"/>
      </rPr>
      <t>F2</t>
    </r>
  </si>
  <si>
    <r>
      <t>Z</t>
    </r>
    <r>
      <rPr>
        <vertAlign val="subscript"/>
        <sz val="11"/>
        <rFont val="Calibri"/>
        <family val="2"/>
        <scheme val="minor"/>
      </rPr>
      <t>H</t>
    </r>
  </si>
  <si>
    <r>
      <t>Z</t>
    </r>
    <r>
      <rPr>
        <vertAlign val="subscript"/>
        <sz val="11"/>
        <rFont val="Calibri"/>
        <family val="2"/>
        <scheme val="minor"/>
      </rPr>
      <t>E</t>
    </r>
  </si>
  <si>
    <r>
      <t>E</t>
    </r>
    <r>
      <rPr>
        <vertAlign val="subscript"/>
        <sz val="11"/>
        <rFont val="Calibri"/>
        <family val="2"/>
      </rPr>
      <t>2</t>
    </r>
  </si>
  <si>
    <r>
      <t>E</t>
    </r>
    <r>
      <rPr>
        <vertAlign val="subscript"/>
        <sz val="11"/>
        <rFont val="Calibri"/>
        <family val="2"/>
      </rPr>
      <t>1</t>
    </r>
  </si>
  <si>
    <r>
      <t>Z</t>
    </r>
    <r>
      <rPr>
        <vertAlign val="subscript"/>
        <sz val="11"/>
        <rFont val="Calibri"/>
        <family val="2"/>
        <scheme val="minor"/>
      </rPr>
      <t>ε</t>
    </r>
  </si>
  <si>
    <r>
      <t>Z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</si>
  <si>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Hα</t>
    </r>
  </si>
  <si>
    <t xml:space="preserve"> II 10/7</t>
  </si>
  <si>
    <t xml:space="preserve"> II 10/6</t>
  </si>
  <si>
    <r>
      <t>σ</t>
    </r>
    <r>
      <rPr>
        <vertAlign val="subscript"/>
        <sz val="11"/>
        <rFont val="Calibri"/>
        <family val="2"/>
      </rPr>
      <t>H</t>
    </r>
  </si>
  <si>
    <r>
      <t>σ</t>
    </r>
    <r>
      <rPr>
        <vertAlign val="subscript"/>
        <sz val="11"/>
        <rFont val="Calibri"/>
        <family val="2"/>
      </rPr>
      <t>HO</t>
    </r>
  </si>
  <si>
    <r>
      <t>S</t>
    </r>
    <r>
      <rPr>
        <b/>
        <vertAlign val="subscript"/>
        <sz val="11"/>
        <rFont val="Calibri"/>
        <family val="2"/>
        <scheme val="minor"/>
      </rPr>
      <t>H</t>
    </r>
  </si>
  <si>
    <t>Diese Werte sind manuell einzugeben</t>
  </si>
  <si>
    <t>Diese Werte müssen aus den gelben Seiten herrausgesucht werden</t>
  </si>
  <si>
    <r>
      <t>S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für Abschätz.</t>
    </r>
  </si>
  <si>
    <r>
      <t>S</t>
    </r>
    <r>
      <rPr>
        <vertAlign val="subscript"/>
        <sz val="11"/>
        <rFont val="Calibri"/>
        <family val="2"/>
        <scheme val="minor"/>
      </rPr>
      <t xml:space="preserve">H </t>
    </r>
    <r>
      <rPr>
        <sz val="11"/>
        <rFont val="Calibri"/>
        <family val="2"/>
        <scheme val="minor"/>
      </rPr>
      <t>für Abschätz.</t>
    </r>
  </si>
  <si>
    <r>
      <t>b/d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für Abschätz.</t>
    </r>
  </si>
  <si>
    <t>b berechnet</t>
  </si>
  <si>
    <t>Ergebnisse:</t>
  </si>
  <si>
    <t>Tangential</t>
  </si>
  <si>
    <t>Radial</t>
  </si>
  <si>
    <t>Axial</t>
  </si>
  <si>
    <r>
      <t>S</t>
    </r>
    <r>
      <rPr>
        <b/>
        <vertAlign val="subscript"/>
        <sz val="11"/>
        <rFont val="Calibri"/>
        <family val="2"/>
        <scheme val="minor"/>
      </rPr>
      <t>F</t>
    </r>
  </si>
  <si>
    <r>
      <t>F</t>
    </r>
    <r>
      <rPr>
        <b/>
        <vertAlign val="subscript"/>
        <sz val="11"/>
        <rFont val="Calibri"/>
        <family val="2"/>
        <scheme val="minor"/>
      </rPr>
      <t>t</t>
    </r>
  </si>
  <si>
    <r>
      <t>F</t>
    </r>
    <r>
      <rPr>
        <b/>
        <vertAlign val="subscript"/>
        <sz val="11"/>
        <rFont val="Calibri"/>
        <family val="2"/>
        <scheme val="minor"/>
      </rPr>
      <t>r</t>
    </r>
  </si>
  <si>
    <r>
      <t>F</t>
    </r>
    <r>
      <rPr>
        <b/>
        <vertAlign val="subscript"/>
        <sz val="11"/>
        <rFont val="Calibri"/>
        <family val="2"/>
        <scheme val="minor"/>
      </rPr>
      <t>a</t>
    </r>
  </si>
  <si>
    <r>
      <t>berechnetes m</t>
    </r>
    <r>
      <rPr>
        <b/>
        <vertAlign val="subscript"/>
        <sz val="11"/>
        <rFont val="Calibri"/>
        <family val="2"/>
        <scheme val="minor"/>
      </rPr>
      <t>n</t>
    </r>
  </si>
  <si>
    <t>Abschätzung x1 nach Roloff/Matek:</t>
  </si>
  <si>
    <t>von Eingangswelle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</si>
</sst>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.#####&quot;N&quot;;[=0]0&quot;N&quot;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3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3" borderId="0" xfId="0" applyFont="1" applyFill="1"/>
    <xf numFmtId="0" fontId="5" fillId="3" borderId="0" xfId="0" applyFont="1" applyFill="1"/>
    <xf numFmtId="0" fontId="9" fillId="2" borderId="0" xfId="0" applyFont="1" applyFill="1"/>
    <xf numFmtId="0" fontId="1" fillId="2" borderId="0" xfId="0" quotePrefix="1" applyFont="1" applyFill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3" borderId="0" xfId="0" applyNumberFormat="1" applyFont="1" applyFill="1"/>
    <xf numFmtId="0" fontId="11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1" fillId="5" borderId="0" xfId="0" applyFont="1" applyFill="1" applyBorder="1"/>
    <xf numFmtId="165" fontId="11" fillId="5" borderId="0" xfId="0" applyNumberFormat="1" applyFont="1" applyFill="1" applyBorder="1"/>
    <xf numFmtId="0" fontId="2" fillId="2" borderId="0" xfId="0" quotePrefix="1" applyFont="1" applyFill="1"/>
    <xf numFmtId="0" fontId="13" fillId="2" borderId="0" xfId="0" applyFont="1" applyFill="1"/>
    <xf numFmtId="10" fontId="2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28-5F25-4258-87F5-E92EC2383C9A}">
  <dimension ref="A2:XEW75"/>
  <sheetViews>
    <sheetView tabSelected="1" workbookViewId="0">
      <selection activeCell="C38" sqref="C38"/>
    </sheetView>
  </sheetViews>
  <sheetFormatPr baseColWidth="10" defaultRowHeight="14.5" x14ac:dyDescent="0.35"/>
  <cols>
    <col min="1" max="1" width="10.90625" style="1"/>
    <col min="2" max="2" width="15.08984375" style="1" customWidth="1"/>
    <col min="3" max="5" width="10.90625" style="1"/>
    <col min="6" max="6" width="13.90625" style="1" bestFit="1" customWidth="1"/>
    <col min="7" max="7" width="11.26953125" style="1" bestFit="1" customWidth="1"/>
    <col min="8" max="15" width="10.90625" style="1"/>
    <col min="16" max="16" width="12.6328125" style="1" bestFit="1" customWidth="1"/>
    <col min="17" max="17" width="10.90625" style="1"/>
    <col min="18" max="18" width="11.54296875" style="1" bestFit="1" customWidth="1"/>
    <col min="19" max="16384" width="10.90625" style="1"/>
  </cols>
  <sheetData>
    <row r="2" spans="2:20" ht="21" x14ac:dyDescent="0.5">
      <c r="B2" s="3" t="s">
        <v>0</v>
      </c>
      <c r="E2" s="29" t="s">
        <v>118</v>
      </c>
    </row>
    <row r="4" spans="2:20" x14ac:dyDescent="0.35">
      <c r="B4" s="9" t="s">
        <v>1</v>
      </c>
    </row>
    <row r="6" spans="2:20" ht="16.5" x14ac:dyDescent="0.45">
      <c r="B6" s="11" t="s">
        <v>2</v>
      </c>
      <c r="C6" s="11">
        <v>1.1000000000000001</v>
      </c>
      <c r="D6" s="11" t="s">
        <v>97</v>
      </c>
      <c r="F6" s="1" t="s">
        <v>5</v>
      </c>
      <c r="G6" s="5">
        <f>C7*1000/(2*PI()*C8/60)</f>
        <v>402.07564570584083</v>
      </c>
      <c r="H6" s="1" t="s">
        <v>6</v>
      </c>
    </row>
    <row r="7" spans="2:20" x14ac:dyDescent="0.35">
      <c r="B7" s="7" t="s">
        <v>3</v>
      </c>
      <c r="C7" s="7">
        <v>40</v>
      </c>
      <c r="D7" s="7" t="s">
        <v>15</v>
      </c>
      <c r="F7" s="2" t="s">
        <v>9</v>
      </c>
      <c r="G7" s="6">
        <f>C10/C9</f>
        <v>3.0370370370370372</v>
      </c>
      <c r="K7" s="7"/>
      <c r="L7" s="7"/>
      <c r="M7" s="7"/>
      <c r="O7" s="1" t="s">
        <v>102</v>
      </c>
    </row>
    <row r="8" spans="2:20" ht="16.5" x14ac:dyDescent="0.35">
      <c r="B8" s="7" t="s">
        <v>4</v>
      </c>
      <c r="C8" s="7">
        <v>950</v>
      </c>
      <c r="D8" s="7" t="s">
        <v>16</v>
      </c>
      <c r="F8" s="4" t="s">
        <v>11</v>
      </c>
      <c r="G8" s="5">
        <f>(G7-C11)*100/C11</f>
        <v>1.2345679012345734</v>
      </c>
      <c r="H8" s="1" t="s">
        <v>12</v>
      </c>
    </row>
    <row r="9" spans="2:20" ht="16.5" x14ac:dyDescent="0.45">
      <c r="B9" s="7" t="s">
        <v>7</v>
      </c>
      <c r="C9" s="7">
        <v>27</v>
      </c>
      <c r="D9" s="7"/>
      <c r="G9" s="5"/>
    </row>
    <row r="10" spans="2:20" ht="16.5" x14ac:dyDescent="0.45">
      <c r="B10" s="7" t="s">
        <v>8</v>
      </c>
      <c r="C10" s="7">
        <v>82</v>
      </c>
      <c r="D10" s="7"/>
      <c r="F10" s="2" t="s">
        <v>116</v>
      </c>
      <c r="G10" s="6">
        <f>POWER((5*C6*G6*1000*COS(C12*PI()/180)*COS(C12*PI()/180)*C13)/(C9*C9*C17*C15),1/3)</f>
        <v>2.5765533147111195</v>
      </c>
      <c r="H10" s="28" t="s">
        <v>20</v>
      </c>
      <c r="I10" s="2" t="s">
        <v>23</v>
      </c>
      <c r="K10" s="11"/>
      <c r="L10" s="11"/>
      <c r="M10" s="11"/>
      <c r="O10" s="1" t="s">
        <v>103</v>
      </c>
    </row>
    <row r="11" spans="2:20" ht="16.5" x14ac:dyDescent="0.45">
      <c r="B11" s="7" t="s">
        <v>10</v>
      </c>
      <c r="C11" s="7">
        <v>3</v>
      </c>
      <c r="D11" s="7"/>
      <c r="F11" s="2"/>
      <c r="G11" s="6"/>
      <c r="H11" s="2"/>
      <c r="I11" s="2"/>
    </row>
    <row r="12" spans="2:20" ht="16.5" x14ac:dyDescent="0.45">
      <c r="B12" s="8" t="s">
        <v>13</v>
      </c>
      <c r="C12" s="7">
        <v>10</v>
      </c>
      <c r="D12" s="7" t="s">
        <v>14</v>
      </c>
      <c r="F12" s="1" t="s">
        <v>21</v>
      </c>
      <c r="G12" s="5">
        <f>(75*POWER((C6*1000*G6*(1+G7)*C14*C14)/(C17*G7*C16*C16),1/3))/C9</f>
        <v>2.1055098428055565</v>
      </c>
      <c r="H12" s="1" t="s">
        <v>20</v>
      </c>
      <c r="I12" s="1" t="s">
        <v>24</v>
      </c>
    </row>
    <row r="13" spans="2:20" ht="17" thickBot="1" x14ac:dyDescent="0.5">
      <c r="B13" s="7" t="s">
        <v>104</v>
      </c>
      <c r="C13" s="7">
        <v>1.5</v>
      </c>
      <c r="D13" s="7"/>
    </row>
    <row r="14" spans="2:20" ht="16.5" x14ac:dyDescent="0.45">
      <c r="B14" s="7" t="s">
        <v>105</v>
      </c>
      <c r="C14" s="7">
        <v>1</v>
      </c>
      <c r="D14" s="7"/>
      <c r="F14" s="16" t="s">
        <v>22</v>
      </c>
      <c r="G14" s="16">
        <v>2.5</v>
      </c>
      <c r="H14" s="16" t="s">
        <v>20</v>
      </c>
      <c r="J14" s="31" t="s">
        <v>108</v>
      </c>
      <c r="K14" s="31"/>
      <c r="L14" s="31"/>
      <c r="N14" s="17"/>
      <c r="O14" s="18"/>
      <c r="P14" s="18" t="s">
        <v>32</v>
      </c>
      <c r="Q14" s="18"/>
      <c r="R14" s="18" t="s">
        <v>33</v>
      </c>
      <c r="S14" s="18"/>
      <c r="T14" s="19"/>
    </row>
    <row r="15" spans="2:20" ht="16.5" x14ac:dyDescent="0.45">
      <c r="B15" s="8" t="s">
        <v>17</v>
      </c>
      <c r="C15" s="7">
        <v>430</v>
      </c>
      <c r="D15" s="7" t="s">
        <v>19</v>
      </c>
      <c r="E15" s="11" t="s">
        <v>98</v>
      </c>
      <c r="J15" s="31"/>
      <c r="K15" s="31"/>
      <c r="L15" s="31"/>
      <c r="N15" s="20"/>
      <c r="O15" s="21"/>
      <c r="P15" s="21"/>
      <c r="Q15" s="21"/>
      <c r="R15" s="21"/>
      <c r="S15" s="21"/>
      <c r="T15" s="22"/>
    </row>
    <row r="16" spans="2:20" ht="16.5" x14ac:dyDescent="0.45">
      <c r="B16" s="7" t="s">
        <v>18</v>
      </c>
      <c r="C16" s="7">
        <v>1500</v>
      </c>
      <c r="D16" s="7" t="s">
        <v>19</v>
      </c>
      <c r="E16" s="11" t="s">
        <v>98</v>
      </c>
      <c r="J16" s="31"/>
      <c r="K16" s="31"/>
      <c r="L16" s="31"/>
      <c r="N16" s="20" t="s">
        <v>112</v>
      </c>
      <c r="O16" s="21"/>
      <c r="P16" s="26">
        <f>G54</f>
        <v>1.7528818283690293</v>
      </c>
      <c r="Q16" s="26"/>
      <c r="R16" s="26">
        <f>G57</f>
        <v>1.7528818283690293</v>
      </c>
      <c r="S16" s="21"/>
      <c r="T16" s="22"/>
    </row>
    <row r="17" spans="2:20" ht="16.5" x14ac:dyDescent="0.45">
      <c r="B17" s="7" t="s">
        <v>106</v>
      </c>
      <c r="C17" s="7">
        <v>0.6</v>
      </c>
      <c r="D17" s="7"/>
      <c r="J17" s="31"/>
      <c r="K17" s="31"/>
      <c r="L17" s="31"/>
      <c r="N17" s="20"/>
      <c r="O17" s="21"/>
      <c r="P17" s="26"/>
      <c r="Q17" s="26"/>
      <c r="R17" s="26"/>
      <c r="S17" s="21"/>
      <c r="T17" s="22"/>
    </row>
    <row r="18" spans="2:20" ht="16.5" x14ac:dyDescent="0.45">
      <c r="B18" s="8" t="s">
        <v>30</v>
      </c>
      <c r="C18" s="7">
        <v>20</v>
      </c>
      <c r="D18" s="7" t="s">
        <v>14</v>
      </c>
      <c r="N18" s="20" t="s">
        <v>101</v>
      </c>
      <c r="O18" s="21"/>
      <c r="P18" s="32">
        <f>G61</f>
        <v>1.3817375168115675</v>
      </c>
      <c r="Q18" s="32"/>
      <c r="R18" s="32"/>
      <c r="S18" s="21"/>
      <c r="T18" s="22"/>
    </row>
    <row r="19" spans="2:20" ht="16.5" x14ac:dyDescent="0.45">
      <c r="B19" s="8" t="s">
        <v>93</v>
      </c>
      <c r="C19" s="7">
        <v>210000</v>
      </c>
      <c r="D19" s="7" t="s">
        <v>19</v>
      </c>
      <c r="N19" s="20"/>
      <c r="O19" s="21"/>
      <c r="P19" s="26"/>
      <c r="Q19" s="26"/>
      <c r="R19" s="26"/>
      <c r="S19" s="21"/>
      <c r="T19" s="22"/>
    </row>
    <row r="20" spans="2:20" ht="16.5" x14ac:dyDescent="0.45">
      <c r="B20" s="8" t="s">
        <v>92</v>
      </c>
      <c r="C20" s="13">
        <v>210000</v>
      </c>
      <c r="D20" s="7" t="s">
        <v>19</v>
      </c>
      <c r="N20" s="20" t="s">
        <v>113</v>
      </c>
      <c r="O20" s="21"/>
      <c r="P20" s="27">
        <f>(2*G6*1000)/C39</f>
        <v>11594.244810036149</v>
      </c>
      <c r="Q20" s="27"/>
      <c r="R20" s="27">
        <f>(2*G6*1000)/G39</f>
        <v>3817.6171935484886</v>
      </c>
      <c r="S20" s="21"/>
      <c r="T20" s="22" t="s">
        <v>109</v>
      </c>
    </row>
    <row r="21" spans="2:20" x14ac:dyDescent="0.35">
      <c r="B21" s="8" t="s">
        <v>51</v>
      </c>
      <c r="C21" s="7">
        <v>45.5</v>
      </c>
      <c r="D21" s="7" t="s">
        <v>20</v>
      </c>
      <c r="N21" s="20"/>
      <c r="O21" s="21"/>
      <c r="P21" s="27"/>
      <c r="Q21" s="27"/>
      <c r="R21" s="27"/>
      <c r="S21" s="21"/>
      <c r="T21" s="22"/>
    </row>
    <row r="22" spans="2:20" ht="16.5" x14ac:dyDescent="0.45">
      <c r="B22" s="4" t="s">
        <v>107</v>
      </c>
      <c r="C22" s="1">
        <f>C17*C34</f>
        <v>41.124777781372671</v>
      </c>
      <c r="D22" s="1" t="s">
        <v>20</v>
      </c>
      <c r="N22" s="20" t="s">
        <v>114</v>
      </c>
      <c r="O22" s="21"/>
      <c r="P22" s="27">
        <f>P20*TAN(C28*PI()/180)</f>
        <v>4692.9324437318292</v>
      </c>
      <c r="Q22" s="27"/>
      <c r="R22" s="27">
        <f>R20*TAN(C28*PI()/180)</f>
        <v>1545.2338534238952</v>
      </c>
      <c r="S22" s="21"/>
      <c r="T22" s="22" t="s">
        <v>110</v>
      </c>
    </row>
    <row r="23" spans="2:20" x14ac:dyDescent="0.35">
      <c r="N23" s="20"/>
      <c r="O23" s="21"/>
      <c r="P23" s="27"/>
      <c r="Q23" s="27"/>
      <c r="R23" s="27"/>
      <c r="S23" s="21"/>
      <c r="T23" s="22"/>
    </row>
    <row r="24" spans="2:20" ht="16.5" x14ac:dyDescent="0.45">
      <c r="B24" s="1" t="s">
        <v>26</v>
      </c>
      <c r="C24" s="1">
        <f>((C25)/(2))*(C9+C10)</f>
        <v>138.35187586943275</v>
      </c>
      <c r="D24" s="1" t="s">
        <v>20</v>
      </c>
      <c r="F24" s="7" t="s">
        <v>25</v>
      </c>
      <c r="G24" s="7">
        <v>140</v>
      </c>
      <c r="H24" s="7" t="s">
        <v>20</v>
      </c>
      <c r="N24" s="20" t="s">
        <v>115</v>
      </c>
      <c r="O24" s="21"/>
      <c r="P24" s="27">
        <f>P20*TAN(C12*PI()/180)</f>
        <v>2044.3781809484642</v>
      </c>
      <c r="Q24" s="27"/>
      <c r="R24" s="27">
        <f>R20*TAN(C12*PI()/180)</f>
        <v>673.14891323912855</v>
      </c>
      <c r="S24" s="21"/>
      <c r="T24" s="22" t="s">
        <v>111</v>
      </c>
    </row>
    <row r="25" spans="2:20" ht="17" thickBot="1" x14ac:dyDescent="0.5">
      <c r="B25" s="1" t="s">
        <v>27</v>
      </c>
      <c r="C25" s="1">
        <f>G14/COS(C12*PI()/180)</f>
        <v>2.5385665297143625</v>
      </c>
      <c r="D25" s="1" t="s">
        <v>20</v>
      </c>
      <c r="N25" s="23"/>
      <c r="O25" s="24"/>
      <c r="P25" s="24"/>
      <c r="Q25" s="24"/>
      <c r="R25" s="24"/>
      <c r="S25" s="24"/>
      <c r="T25" s="25"/>
    </row>
    <row r="26" spans="2:20" x14ac:dyDescent="0.35">
      <c r="B26" s="2" t="s">
        <v>28</v>
      </c>
      <c r="C26" s="2">
        <f>(C9+C10)*((TAN(C28*PI()/180)-(C28*PI()/180))-(TAN(C27*PI()/180)-(C27*PI()/180)))/(2*TAN(C18*PI()/180))</f>
        <v>0.6868930141106947</v>
      </c>
      <c r="D26" s="2" t="s">
        <v>20</v>
      </c>
    </row>
    <row r="27" spans="2:20" ht="16.5" x14ac:dyDescent="0.45">
      <c r="B27" s="1" t="s">
        <v>29</v>
      </c>
      <c r="C27" s="1">
        <f>ATAN((TAN(C18*PI()/180))/COS(C12*PI()/180))*180/PI()</f>
        <v>20.283559454529712</v>
      </c>
      <c r="D27" s="1" t="s">
        <v>14</v>
      </c>
    </row>
    <row r="28" spans="2:20" ht="16.5" x14ac:dyDescent="0.45">
      <c r="B28" s="1" t="s">
        <v>31</v>
      </c>
      <c r="C28" s="1">
        <f>ACOS(COS(C27*PI()/180)*C24/G24)*180/PI()</f>
        <v>22.03632812515713</v>
      </c>
      <c r="D28" s="1" t="s">
        <v>14</v>
      </c>
    </row>
    <row r="29" spans="2:20" x14ac:dyDescent="0.35">
      <c r="B29" s="1" t="s">
        <v>37</v>
      </c>
      <c r="C29" s="1">
        <f>((G24-C24)/G14)-C26</f>
        <v>-2.7643361883793127E-2</v>
      </c>
      <c r="D29" s="1" t="s">
        <v>20</v>
      </c>
    </row>
    <row r="31" spans="2:20" x14ac:dyDescent="0.35">
      <c r="B31" s="9" t="s">
        <v>32</v>
      </c>
      <c r="F31" s="9" t="s">
        <v>33</v>
      </c>
      <c r="I31" s="1" t="s">
        <v>117</v>
      </c>
      <c r="L31" s="1">
        <f>0.5*C26+(0.5-(C26)/(2))*(LOG10(C10/C9))/(C10*C9/100)</f>
        <v>0.34685794546921533</v>
      </c>
    </row>
    <row r="32" spans="2:20" ht="16.5" x14ac:dyDescent="0.45">
      <c r="B32" s="1" t="s">
        <v>7</v>
      </c>
      <c r="C32" s="1">
        <f>C9</f>
        <v>27</v>
      </c>
      <c r="F32" s="1" t="s">
        <v>8</v>
      </c>
      <c r="G32" s="1">
        <f>C10</f>
        <v>82</v>
      </c>
    </row>
    <row r="33" spans="2:8" ht="16.5" x14ac:dyDescent="0.45">
      <c r="B33" s="1" t="s">
        <v>55</v>
      </c>
      <c r="C33" s="1">
        <f>C32/POWER(COS(C12*PI()/180),3)</f>
        <v>28.268931094666662</v>
      </c>
      <c r="F33" s="1" t="s">
        <v>54</v>
      </c>
      <c r="G33" s="1">
        <f>G32/POWER(COS(C12*PI()/180),3)</f>
        <v>85.85379073195061</v>
      </c>
    </row>
    <row r="34" spans="2:8" ht="16.5" x14ac:dyDescent="0.45">
      <c r="B34" s="1" t="s">
        <v>34</v>
      </c>
      <c r="C34" s="1">
        <f>C25*C32</f>
        <v>68.54129630228779</v>
      </c>
      <c r="D34" s="1" t="s">
        <v>20</v>
      </c>
      <c r="F34" s="1" t="s">
        <v>35</v>
      </c>
      <c r="G34" s="1">
        <f>G32*C25</f>
        <v>208.16245543657772</v>
      </c>
      <c r="H34" s="1" t="s">
        <v>20</v>
      </c>
    </row>
    <row r="35" spans="2:8" ht="16.5" x14ac:dyDescent="0.45">
      <c r="B35" s="7" t="s">
        <v>38</v>
      </c>
      <c r="C35" s="7">
        <v>0.38419999999999999</v>
      </c>
      <c r="D35" s="7" t="s">
        <v>20</v>
      </c>
      <c r="F35" s="1" t="s">
        <v>39</v>
      </c>
      <c r="G35" s="1">
        <f>C26-C35</f>
        <v>0.30269301411069471</v>
      </c>
      <c r="H35" s="1" t="s">
        <v>20</v>
      </c>
    </row>
    <row r="36" spans="2:8" ht="16.5" x14ac:dyDescent="0.45">
      <c r="B36" s="1" t="s">
        <v>36</v>
      </c>
      <c r="C36" s="1">
        <f>C34+2*G14*(1+C35+C29)</f>
        <v>75.324079492868819</v>
      </c>
      <c r="D36" s="1" t="s">
        <v>20</v>
      </c>
      <c r="F36" s="1" t="s">
        <v>40</v>
      </c>
      <c r="G36" s="1">
        <f>G34+2*G14*(1+G35+C29)</f>
        <v>214.53770369771223</v>
      </c>
      <c r="H36" s="1" t="s">
        <v>20</v>
      </c>
    </row>
    <row r="37" spans="2:8" ht="16.5" x14ac:dyDescent="0.45">
      <c r="B37" s="1" t="s">
        <v>41</v>
      </c>
      <c r="C37" s="1">
        <f>C34*COS(C27*PI()/180)</f>
        <v>64.290944025135104</v>
      </c>
      <c r="D37" s="1" t="s">
        <v>20</v>
      </c>
      <c r="F37" s="1" t="s">
        <v>42</v>
      </c>
      <c r="G37" s="1">
        <f>G34*COS(C27*PI()/180)</f>
        <v>195.25397815041029</v>
      </c>
      <c r="H37" s="1" t="s">
        <v>20</v>
      </c>
    </row>
    <row r="38" spans="2:8" ht="16.5" x14ac:dyDescent="0.45">
      <c r="B38" s="1" t="s">
        <v>43</v>
      </c>
      <c r="C38" s="1">
        <f>C34-2*G14*(1.25-C35)</f>
        <v>64.212296302287797</v>
      </c>
      <c r="D38" s="1" t="s">
        <v>20</v>
      </c>
      <c r="F38" s="1" t="s">
        <v>44</v>
      </c>
      <c r="G38" s="1">
        <f>G34-2*G14*(1.25-G35)</f>
        <v>203.4259205071312</v>
      </c>
      <c r="H38" s="1" t="s">
        <v>20</v>
      </c>
    </row>
    <row r="39" spans="2:8" ht="16.5" x14ac:dyDescent="0.45">
      <c r="B39" s="1" t="s">
        <v>45</v>
      </c>
      <c r="C39" s="1">
        <f>C34*(COS(C27*PI()/180))/(COS(C28*PI()/180))</f>
        <v>69.357798165137623</v>
      </c>
      <c r="D39" s="1" t="s">
        <v>20</v>
      </c>
      <c r="F39" s="1" t="s">
        <v>46</v>
      </c>
      <c r="G39" s="1">
        <f>G34*(COS(C27*PI()/180))/(COS(C28*PI()/180))</f>
        <v>210.64220183486239</v>
      </c>
      <c r="H39" s="1" t="s">
        <v>20</v>
      </c>
    </row>
    <row r="41" spans="2:8" ht="16.5" x14ac:dyDescent="0.45">
      <c r="B41" s="4" t="s">
        <v>49</v>
      </c>
      <c r="C41" s="1">
        <f>(0.5*(SQRT(C36*C36-C37*C37)+SQRT(G36*G36-G37*G37))-G24*SIN(C28*PI()/180))/(PI()*C25*COS(C27*PI()/180))</f>
        <v>1.543215664576749</v>
      </c>
      <c r="D41" s="10" t="s">
        <v>47</v>
      </c>
      <c r="E41" s="30">
        <f>(C41-1)</f>
        <v>0.54321566457674897</v>
      </c>
      <c r="F41" s="1" t="s">
        <v>48</v>
      </c>
    </row>
    <row r="43" spans="2:8" ht="16.5" x14ac:dyDescent="0.45">
      <c r="B43" s="1" t="s">
        <v>50</v>
      </c>
      <c r="C43" s="1">
        <f>(C21*SIN(C12*PI()/180))/(PI()*G14)</f>
        <v>1.0059855563791353</v>
      </c>
      <c r="D43" s="1" t="s">
        <v>53</v>
      </c>
    </row>
    <row r="45" spans="2:8" ht="16.5" x14ac:dyDescent="0.45">
      <c r="B45" s="4" t="s">
        <v>52</v>
      </c>
      <c r="C45" s="1" cm="1">
        <f t="array" ref="C45">C41+_xlfn.ANCHORARRAY(C43)</f>
        <v>2.5492012209558843</v>
      </c>
    </row>
    <row r="47" spans="2:8" x14ac:dyDescent="0.35">
      <c r="B47" s="9" t="s">
        <v>56</v>
      </c>
    </row>
    <row r="49" spans="1:1017 1025:2041 2049:3065 3073:4089 4097:5113 5121:6137 6145:7161 7169:8185 8193:9209 9217:10233 10241:11257 11265:12281 12289:13305 13313:14329 14337:15353 15361:16377" ht="16.5" x14ac:dyDescent="0.45">
      <c r="B49" s="1" t="s">
        <v>57</v>
      </c>
      <c r="C49" s="1">
        <f>(2*G6)/(C34/1000)</f>
        <v>11732.361872251902</v>
      </c>
      <c r="D49" s="1" t="s">
        <v>58</v>
      </c>
    </row>
    <row r="52" spans="1:1017 1025:2041 2049:3065 3073:4089 4097:5113 5121:6137 6145:7161 7169:8185 8193:9209 9217:10233 10241:11257 11265:12281 12289:13305 13313:14329 14337:15353 15361:16377" ht="16.5" x14ac:dyDescent="0.45">
      <c r="B52" s="4" t="s">
        <v>59</v>
      </c>
      <c r="C52" s="1">
        <f>2*C15</f>
        <v>860</v>
      </c>
      <c r="D52" s="1" t="s">
        <v>19</v>
      </c>
    </row>
    <row r="53" spans="1:1017 1025:2041 2049:3065 3073:4089 4097:5113 5121:6137 6145:7161 7169:8185 8193:9209 9217:10233 10241:11257 11265:12281 12289:13305 13313:14329 14337:15353 15361:16377" x14ac:dyDescent="0.35">
      <c r="B53" s="4"/>
    </row>
    <row r="54" spans="1:1017 1025:2041 2049:3065 3073:4089 4097:5113 5121:6137 6145:7161 7169:8185 8193:9209 9217:10233 10241:11257 11265:12281 12289:13305 13313:14329 14337:15353 15361:16377" ht="16.5" x14ac:dyDescent="0.45">
      <c r="B54" s="4" t="s">
        <v>82</v>
      </c>
      <c r="C54" s="1">
        <f>C55*C6*C66*C69*C70</f>
        <v>490.62063744490285</v>
      </c>
      <c r="D54" s="1" t="s">
        <v>19</v>
      </c>
      <c r="F54" s="15" t="s">
        <v>85</v>
      </c>
      <c r="G54" s="14">
        <f>C52/C54</f>
        <v>1.7528818283690293</v>
      </c>
      <c r="H54" s="2"/>
      <c r="I54" s="2" t="s">
        <v>84</v>
      </c>
    </row>
    <row r="55" spans="1:1017 1025:2041 2049:3065 3073:4089 4097:5113 5121:6137 6145:7161 7169:8185 8193:9209 9217:10233 10241:11257 11265:12281 12289:13305 13313:14329 14337:15353 15361:16377" ht="16.5" x14ac:dyDescent="0.45">
      <c r="B55" s="4" t="s">
        <v>83</v>
      </c>
      <c r="C55" s="1">
        <f>(C49)/(C21*G14)*C72*C74*C75</f>
        <v>270.03222712447916</v>
      </c>
      <c r="D55" s="1" t="s">
        <v>19</v>
      </c>
      <c r="F55" s="15"/>
      <c r="G55" s="14"/>
      <c r="H55" s="2"/>
      <c r="I55" s="2"/>
    </row>
    <row r="56" spans="1:1017 1025:2041 2049:3065 3073:4089 4097:5113 5121:6137 6145:7161 7169:8185 8193:9209 9217:10233 10241:11257 11265:12281 12289:13305 13313:14329 14337:15353 15361:16377" x14ac:dyDescent="0.35">
      <c r="F56" s="15"/>
      <c r="G56" s="14"/>
      <c r="H56" s="2"/>
      <c r="I56" s="2"/>
    </row>
    <row r="57" spans="1:1017 1025:2041 2049:3065 3073:4089 4097:5113 5121:6137 6145:7161 7169:8185 8193:9209 9217:10233 10241:11257 11265:12281 12289:13305 13313:14329 14337:15353 15361:16377" ht="16.5" x14ac:dyDescent="0.45">
      <c r="B57" s="4" t="s">
        <v>89</v>
      </c>
      <c r="C57" s="1">
        <f>C58*C6*C66*C69*C70</f>
        <v>490.62063744490285</v>
      </c>
      <c r="D57" s="1" t="s">
        <v>19</v>
      </c>
      <c r="F57" s="15" t="s">
        <v>86</v>
      </c>
      <c r="G57" s="14">
        <f>C52/C57</f>
        <v>1.7528818283690293</v>
      </c>
      <c r="H57" s="2"/>
      <c r="I57" s="2" t="s">
        <v>33</v>
      </c>
    </row>
    <row r="58" spans="1:1017 1025:2041 2049:3065 3073:4089 4097:5113 5121:6137 6145:7161 7169:8185 8193:9209 9217:10233 10241:11257 11265:12281 12289:13305 13313:14329 14337:15353 15361:16377" ht="16.5" x14ac:dyDescent="0.45">
      <c r="B58" s="4" t="s">
        <v>88</v>
      </c>
      <c r="C58" s="1">
        <f>(C49)/(C21*G14)*C73*C74*C75</f>
        <v>270.03222712447916</v>
      </c>
      <c r="D58" s="1" t="s">
        <v>19</v>
      </c>
      <c r="F58" s="15"/>
      <c r="G58" s="14"/>
      <c r="H58" s="2"/>
      <c r="I58" s="2"/>
    </row>
    <row r="59" spans="1:1017 1025:2041 2049:3065 3073:4089 4097:5113 5121:6137 6145:7161 7169:8185 8193:9209 9217:10233 10241:11257 11265:12281 12289:13305 13313:14329 14337:15353 15361:16377" x14ac:dyDescent="0.35">
      <c r="B59" s="4"/>
      <c r="F59" s="15"/>
      <c r="G59" s="14"/>
      <c r="H59" s="2"/>
      <c r="I59" s="2"/>
    </row>
    <row r="60" spans="1:1017 1025:2041 2049:3065 3073:4089 4097:5113 5121:6137 6145:7161 7169:8185 8193:9209 9217:10233 10241:11257 11265:12281 12289:13305 13313:14329 14337:15353 15361:16377" ht="16.5" x14ac:dyDescent="0.45">
      <c r="A60" s="4"/>
      <c r="B60" s="4" t="s">
        <v>87</v>
      </c>
      <c r="C60" s="1">
        <f>C16</f>
        <v>1500</v>
      </c>
      <c r="D60" s="1" t="s">
        <v>19</v>
      </c>
      <c r="F60" s="15"/>
      <c r="G60" s="14"/>
      <c r="H60" s="2"/>
      <c r="I60" s="2"/>
      <c r="Q60" s="4"/>
      <c r="Y60" s="4"/>
      <c r="AG60" s="4"/>
      <c r="AO60" s="4"/>
      <c r="AW60" s="4"/>
      <c r="BE60" s="4"/>
      <c r="BM60" s="4"/>
      <c r="BU60" s="4"/>
      <c r="CC60" s="4"/>
      <c r="CK60" s="4"/>
      <c r="CS60" s="4"/>
      <c r="DA60" s="4"/>
      <c r="DI60" s="4"/>
      <c r="DQ60" s="4"/>
      <c r="DY60" s="4"/>
      <c r="EG60" s="4"/>
      <c r="EO60" s="4"/>
      <c r="EW60" s="4"/>
      <c r="FE60" s="4"/>
      <c r="FM60" s="4"/>
      <c r="FU60" s="4"/>
      <c r="GC60" s="4"/>
      <c r="GK60" s="4"/>
      <c r="GS60" s="4"/>
      <c r="HA60" s="4"/>
      <c r="HI60" s="4"/>
      <c r="HQ60" s="4"/>
      <c r="HY60" s="4"/>
      <c r="IG60" s="4"/>
      <c r="IO60" s="4"/>
      <c r="IW60" s="4"/>
      <c r="JE60" s="4"/>
      <c r="JM60" s="4"/>
      <c r="JU60" s="4"/>
      <c r="KC60" s="4"/>
      <c r="KK60" s="4"/>
      <c r="KS60" s="4"/>
      <c r="LA60" s="4"/>
      <c r="LI60" s="4"/>
      <c r="LQ60" s="4"/>
      <c r="LY60" s="4"/>
      <c r="MG60" s="4"/>
      <c r="MO60" s="4"/>
      <c r="MW60" s="4"/>
      <c r="NE60" s="4"/>
      <c r="NM60" s="4"/>
      <c r="NU60" s="4"/>
      <c r="OC60" s="4"/>
      <c r="OK60" s="4"/>
      <c r="OS60" s="4"/>
      <c r="PA60" s="4"/>
      <c r="PI60" s="4"/>
      <c r="PQ60" s="4"/>
      <c r="PY60" s="4"/>
      <c r="QG60" s="4"/>
      <c r="QO60" s="4"/>
      <c r="QW60" s="4"/>
      <c r="RE60" s="4"/>
      <c r="RM60" s="4"/>
      <c r="RU60" s="4"/>
      <c r="SC60" s="4"/>
      <c r="SK60" s="4"/>
      <c r="SS60" s="4"/>
      <c r="TA60" s="4"/>
      <c r="TI60" s="4"/>
      <c r="TQ60" s="4"/>
      <c r="TY60" s="4"/>
      <c r="UG60" s="4"/>
      <c r="UO60" s="4"/>
      <c r="UW60" s="4"/>
      <c r="VE60" s="4"/>
      <c r="VM60" s="4"/>
      <c r="VU60" s="4"/>
      <c r="WC60" s="4"/>
      <c r="WK60" s="4"/>
      <c r="WS60" s="4"/>
      <c r="XA60" s="4"/>
      <c r="XI60" s="4"/>
      <c r="XQ60" s="4"/>
      <c r="XY60" s="4"/>
      <c r="YG60" s="4"/>
      <c r="YO60" s="4"/>
      <c r="YW60" s="4"/>
      <c r="ZE60" s="4"/>
      <c r="ZM60" s="4"/>
      <c r="ZU60" s="4"/>
      <c r="AAC60" s="4"/>
      <c r="AAK60" s="4"/>
      <c r="AAS60" s="4"/>
      <c r="ABA60" s="4"/>
      <c r="ABI60" s="4"/>
      <c r="ABQ60" s="4"/>
      <c r="ABY60" s="4"/>
      <c r="ACG60" s="4"/>
      <c r="ACO60" s="4"/>
      <c r="ACW60" s="4"/>
      <c r="ADE60" s="4"/>
      <c r="ADM60" s="4"/>
      <c r="ADU60" s="4"/>
      <c r="AEC60" s="4"/>
      <c r="AEK60" s="4"/>
      <c r="AES60" s="4"/>
      <c r="AFA60" s="4"/>
      <c r="AFI60" s="4"/>
      <c r="AFQ60" s="4"/>
      <c r="AFY60" s="4"/>
      <c r="AGG60" s="4"/>
      <c r="AGO60" s="4"/>
      <c r="AGW60" s="4"/>
      <c r="AHE60" s="4"/>
      <c r="AHM60" s="4"/>
      <c r="AHU60" s="4"/>
      <c r="AIC60" s="4"/>
      <c r="AIK60" s="4"/>
      <c r="AIS60" s="4"/>
      <c r="AJA60" s="4"/>
      <c r="AJI60" s="4"/>
      <c r="AJQ60" s="4"/>
      <c r="AJY60" s="4"/>
      <c r="AKG60" s="4"/>
      <c r="AKO60" s="4"/>
      <c r="AKW60" s="4"/>
      <c r="ALE60" s="4"/>
      <c r="ALM60" s="4"/>
      <c r="ALU60" s="4"/>
      <c r="AMC60" s="4"/>
      <c r="AMK60" s="4"/>
      <c r="AMS60" s="4"/>
      <c r="ANA60" s="4"/>
      <c r="ANI60" s="4"/>
      <c r="ANQ60" s="4"/>
      <c r="ANY60" s="4"/>
      <c r="AOG60" s="4"/>
      <c r="AOO60" s="4"/>
      <c r="AOW60" s="4"/>
      <c r="APE60" s="4"/>
      <c r="APM60" s="4"/>
      <c r="APU60" s="4"/>
      <c r="AQC60" s="4"/>
      <c r="AQK60" s="4"/>
      <c r="AQS60" s="4"/>
      <c r="ARA60" s="4"/>
      <c r="ARI60" s="4"/>
      <c r="ARQ60" s="4"/>
      <c r="ARY60" s="4"/>
      <c r="ASG60" s="4"/>
      <c r="ASO60" s="4"/>
      <c r="ASW60" s="4"/>
      <c r="ATE60" s="4"/>
      <c r="ATM60" s="4"/>
      <c r="ATU60" s="4"/>
      <c r="AUC60" s="4"/>
      <c r="AUK60" s="4"/>
      <c r="AUS60" s="4"/>
      <c r="AVA60" s="4"/>
      <c r="AVI60" s="4"/>
      <c r="AVQ60" s="4"/>
      <c r="AVY60" s="4"/>
      <c r="AWG60" s="4"/>
      <c r="AWO60" s="4"/>
      <c r="AWW60" s="4"/>
      <c r="AXE60" s="4"/>
      <c r="AXM60" s="4"/>
      <c r="AXU60" s="4"/>
      <c r="AYC60" s="4"/>
      <c r="AYK60" s="4"/>
      <c r="AYS60" s="4"/>
      <c r="AZA60" s="4"/>
      <c r="AZI60" s="4"/>
      <c r="AZQ60" s="4"/>
      <c r="AZY60" s="4"/>
      <c r="BAG60" s="4"/>
      <c r="BAO60" s="4"/>
      <c r="BAW60" s="4"/>
      <c r="BBE60" s="4"/>
      <c r="BBM60" s="4"/>
      <c r="BBU60" s="4"/>
      <c r="BCC60" s="4"/>
      <c r="BCK60" s="4"/>
      <c r="BCS60" s="4"/>
      <c r="BDA60" s="4"/>
      <c r="BDI60" s="4"/>
      <c r="BDQ60" s="4"/>
      <c r="BDY60" s="4"/>
      <c r="BEG60" s="4"/>
      <c r="BEO60" s="4"/>
      <c r="BEW60" s="4"/>
      <c r="BFE60" s="4"/>
      <c r="BFM60" s="4"/>
      <c r="BFU60" s="4"/>
      <c r="BGC60" s="4"/>
      <c r="BGK60" s="4"/>
      <c r="BGS60" s="4"/>
      <c r="BHA60" s="4"/>
      <c r="BHI60" s="4"/>
      <c r="BHQ60" s="4"/>
      <c r="BHY60" s="4"/>
      <c r="BIG60" s="4"/>
      <c r="BIO60" s="4"/>
      <c r="BIW60" s="4"/>
      <c r="BJE60" s="4"/>
      <c r="BJM60" s="4"/>
      <c r="BJU60" s="4"/>
      <c r="BKC60" s="4"/>
      <c r="BKK60" s="4"/>
      <c r="BKS60" s="4"/>
      <c r="BLA60" s="4"/>
      <c r="BLI60" s="4"/>
      <c r="BLQ60" s="4"/>
      <c r="BLY60" s="4"/>
      <c r="BMG60" s="4"/>
      <c r="BMO60" s="4"/>
      <c r="BMW60" s="4"/>
      <c r="BNE60" s="4"/>
      <c r="BNM60" s="4"/>
      <c r="BNU60" s="4"/>
      <c r="BOC60" s="4"/>
      <c r="BOK60" s="4"/>
      <c r="BOS60" s="4"/>
      <c r="BPA60" s="4"/>
      <c r="BPI60" s="4"/>
      <c r="BPQ60" s="4"/>
      <c r="BPY60" s="4"/>
      <c r="BQG60" s="4"/>
      <c r="BQO60" s="4"/>
      <c r="BQW60" s="4"/>
      <c r="BRE60" s="4"/>
      <c r="BRM60" s="4"/>
      <c r="BRU60" s="4"/>
      <c r="BSC60" s="4"/>
      <c r="BSK60" s="4"/>
      <c r="BSS60" s="4"/>
      <c r="BTA60" s="4"/>
      <c r="BTI60" s="4"/>
      <c r="BTQ60" s="4"/>
      <c r="BTY60" s="4"/>
      <c r="BUG60" s="4"/>
      <c r="BUO60" s="4"/>
      <c r="BUW60" s="4"/>
      <c r="BVE60" s="4"/>
      <c r="BVM60" s="4"/>
      <c r="BVU60" s="4"/>
      <c r="BWC60" s="4"/>
      <c r="BWK60" s="4"/>
      <c r="BWS60" s="4"/>
      <c r="BXA60" s="4"/>
      <c r="BXI60" s="4"/>
      <c r="BXQ60" s="4"/>
      <c r="BXY60" s="4"/>
      <c r="BYG60" s="4"/>
      <c r="BYO60" s="4"/>
      <c r="BYW60" s="4"/>
      <c r="BZE60" s="4"/>
      <c r="BZM60" s="4"/>
      <c r="BZU60" s="4"/>
      <c r="CAC60" s="4"/>
      <c r="CAK60" s="4"/>
      <c r="CAS60" s="4"/>
      <c r="CBA60" s="4"/>
      <c r="CBI60" s="4"/>
      <c r="CBQ60" s="4"/>
      <c r="CBY60" s="4"/>
      <c r="CCG60" s="4"/>
      <c r="CCO60" s="4"/>
      <c r="CCW60" s="4"/>
      <c r="CDE60" s="4"/>
      <c r="CDM60" s="4"/>
      <c r="CDU60" s="4"/>
      <c r="CEC60" s="4"/>
      <c r="CEK60" s="4"/>
      <c r="CES60" s="4"/>
      <c r="CFA60" s="4"/>
      <c r="CFI60" s="4"/>
      <c r="CFQ60" s="4"/>
      <c r="CFY60" s="4"/>
      <c r="CGG60" s="4"/>
      <c r="CGO60" s="4"/>
      <c r="CGW60" s="4"/>
      <c r="CHE60" s="4"/>
      <c r="CHM60" s="4"/>
      <c r="CHU60" s="4"/>
      <c r="CIC60" s="4"/>
      <c r="CIK60" s="4"/>
      <c r="CIS60" s="4"/>
      <c r="CJA60" s="4"/>
      <c r="CJI60" s="4"/>
      <c r="CJQ60" s="4"/>
      <c r="CJY60" s="4"/>
      <c r="CKG60" s="4"/>
      <c r="CKO60" s="4"/>
      <c r="CKW60" s="4"/>
      <c r="CLE60" s="4"/>
      <c r="CLM60" s="4"/>
      <c r="CLU60" s="4"/>
      <c r="CMC60" s="4"/>
      <c r="CMK60" s="4"/>
      <c r="CMS60" s="4"/>
      <c r="CNA60" s="4"/>
      <c r="CNI60" s="4"/>
      <c r="CNQ60" s="4"/>
      <c r="CNY60" s="4"/>
      <c r="COG60" s="4"/>
      <c r="COO60" s="4"/>
      <c r="COW60" s="4"/>
      <c r="CPE60" s="4"/>
      <c r="CPM60" s="4"/>
      <c r="CPU60" s="4"/>
      <c r="CQC60" s="4"/>
      <c r="CQK60" s="4"/>
      <c r="CQS60" s="4"/>
      <c r="CRA60" s="4"/>
      <c r="CRI60" s="4"/>
      <c r="CRQ60" s="4"/>
      <c r="CRY60" s="4"/>
      <c r="CSG60" s="4"/>
      <c r="CSO60" s="4"/>
      <c r="CSW60" s="4"/>
      <c r="CTE60" s="4"/>
      <c r="CTM60" s="4"/>
      <c r="CTU60" s="4"/>
      <c r="CUC60" s="4"/>
      <c r="CUK60" s="4"/>
      <c r="CUS60" s="4"/>
      <c r="CVA60" s="4"/>
      <c r="CVI60" s="4"/>
      <c r="CVQ60" s="4"/>
      <c r="CVY60" s="4"/>
      <c r="CWG60" s="4"/>
      <c r="CWO60" s="4"/>
      <c r="CWW60" s="4"/>
      <c r="CXE60" s="4"/>
      <c r="CXM60" s="4"/>
      <c r="CXU60" s="4"/>
      <c r="CYC60" s="4"/>
      <c r="CYK60" s="4"/>
      <c r="CYS60" s="4"/>
      <c r="CZA60" s="4"/>
      <c r="CZI60" s="4"/>
      <c r="CZQ60" s="4"/>
      <c r="CZY60" s="4"/>
      <c r="DAG60" s="4"/>
      <c r="DAO60" s="4"/>
      <c r="DAW60" s="4"/>
      <c r="DBE60" s="4"/>
      <c r="DBM60" s="4"/>
      <c r="DBU60" s="4"/>
      <c r="DCC60" s="4"/>
      <c r="DCK60" s="4"/>
      <c r="DCS60" s="4"/>
      <c r="DDA60" s="4"/>
      <c r="DDI60" s="4"/>
      <c r="DDQ60" s="4"/>
      <c r="DDY60" s="4"/>
      <c r="DEG60" s="4"/>
      <c r="DEO60" s="4"/>
      <c r="DEW60" s="4"/>
      <c r="DFE60" s="4"/>
      <c r="DFM60" s="4"/>
      <c r="DFU60" s="4"/>
      <c r="DGC60" s="4"/>
      <c r="DGK60" s="4"/>
      <c r="DGS60" s="4"/>
      <c r="DHA60" s="4"/>
      <c r="DHI60" s="4"/>
      <c r="DHQ60" s="4"/>
      <c r="DHY60" s="4"/>
      <c r="DIG60" s="4"/>
      <c r="DIO60" s="4"/>
      <c r="DIW60" s="4"/>
      <c r="DJE60" s="4"/>
      <c r="DJM60" s="4"/>
      <c r="DJU60" s="4"/>
      <c r="DKC60" s="4"/>
      <c r="DKK60" s="4"/>
      <c r="DKS60" s="4"/>
      <c r="DLA60" s="4"/>
      <c r="DLI60" s="4"/>
      <c r="DLQ60" s="4"/>
      <c r="DLY60" s="4"/>
      <c r="DMG60" s="4"/>
      <c r="DMO60" s="4"/>
      <c r="DMW60" s="4"/>
      <c r="DNE60" s="4"/>
      <c r="DNM60" s="4"/>
      <c r="DNU60" s="4"/>
      <c r="DOC60" s="4"/>
      <c r="DOK60" s="4"/>
      <c r="DOS60" s="4"/>
      <c r="DPA60" s="4"/>
      <c r="DPI60" s="4"/>
      <c r="DPQ60" s="4"/>
      <c r="DPY60" s="4"/>
      <c r="DQG60" s="4"/>
      <c r="DQO60" s="4"/>
      <c r="DQW60" s="4"/>
      <c r="DRE60" s="4"/>
      <c r="DRM60" s="4"/>
      <c r="DRU60" s="4"/>
      <c r="DSC60" s="4"/>
      <c r="DSK60" s="4"/>
      <c r="DSS60" s="4"/>
      <c r="DTA60" s="4"/>
      <c r="DTI60" s="4"/>
      <c r="DTQ60" s="4"/>
      <c r="DTY60" s="4"/>
      <c r="DUG60" s="4"/>
      <c r="DUO60" s="4"/>
      <c r="DUW60" s="4"/>
      <c r="DVE60" s="4"/>
      <c r="DVM60" s="4"/>
      <c r="DVU60" s="4"/>
      <c r="DWC60" s="4"/>
      <c r="DWK60" s="4"/>
      <c r="DWS60" s="4"/>
      <c r="DXA60" s="4"/>
      <c r="DXI60" s="4"/>
      <c r="DXQ60" s="4"/>
      <c r="DXY60" s="4"/>
      <c r="DYG60" s="4"/>
      <c r="DYO60" s="4"/>
      <c r="DYW60" s="4"/>
      <c r="DZE60" s="4"/>
      <c r="DZM60" s="4"/>
      <c r="DZU60" s="4"/>
      <c r="EAC60" s="4"/>
      <c r="EAK60" s="4"/>
      <c r="EAS60" s="4"/>
      <c r="EBA60" s="4"/>
      <c r="EBI60" s="4"/>
      <c r="EBQ60" s="4"/>
      <c r="EBY60" s="4"/>
      <c r="ECG60" s="4"/>
      <c r="ECO60" s="4"/>
      <c r="ECW60" s="4"/>
      <c r="EDE60" s="4"/>
      <c r="EDM60" s="4"/>
      <c r="EDU60" s="4"/>
      <c r="EEC60" s="4"/>
      <c r="EEK60" s="4"/>
      <c r="EES60" s="4"/>
      <c r="EFA60" s="4"/>
      <c r="EFI60" s="4"/>
      <c r="EFQ60" s="4"/>
      <c r="EFY60" s="4"/>
      <c r="EGG60" s="4"/>
      <c r="EGO60" s="4"/>
      <c r="EGW60" s="4"/>
      <c r="EHE60" s="4"/>
      <c r="EHM60" s="4"/>
      <c r="EHU60" s="4"/>
      <c r="EIC60" s="4"/>
      <c r="EIK60" s="4"/>
      <c r="EIS60" s="4"/>
      <c r="EJA60" s="4"/>
      <c r="EJI60" s="4"/>
      <c r="EJQ60" s="4"/>
      <c r="EJY60" s="4"/>
      <c r="EKG60" s="4"/>
      <c r="EKO60" s="4"/>
      <c r="EKW60" s="4"/>
      <c r="ELE60" s="4"/>
      <c r="ELM60" s="4"/>
      <c r="ELU60" s="4"/>
      <c r="EMC60" s="4"/>
      <c r="EMK60" s="4"/>
      <c r="EMS60" s="4"/>
      <c r="ENA60" s="4"/>
      <c r="ENI60" s="4"/>
      <c r="ENQ60" s="4"/>
      <c r="ENY60" s="4"/>
      <c r="EOG60" s="4"/>
      <c r="EOO60" s="4"/>
      <c r="EOW60" s="4"/>
      <c r="EPE60" s="4"/>
      <c r="EPM60" s="4"/>
      <c r="EPU60" s="4"/>
      <c r="EQC60" s="4"/>
      <c r="EQK60" s="4"/>
      <c r="EQS60" s="4"/>
      <c r="ERA60" s="4"/>
      <c r="ERI60" s="4"/>
      <c r="ERQ60" s="4"/>
      <c r="ERY60" s="4"/>
      <c r="ESG60" s="4"/>
      <c r="ESO60" s="4"/>
      <c r="ESW60" s="4"/>
      <c r="ETE60" s="4"/>
      <c r="ETM60" s="4"/>
      <c r="ETU60" s="4"/>
      <c r="EUC60" s="4"/>
      <c r="EUK60" s="4"/>
      <c r="EUS60" s="4"/>
      <c r="EVA60" s="4"/>
      <c r="EVI60" s="4"/>
      <c r="EVQ60" s="4"/>
      <c r="EVY60" s="4"/>
      <c r="EWG60" s="4"/>
      <c r="EWO60" s="4"/>
      <c r="EWW60" s="4"/>
      <c r="EXE60" s="4"/>
      <c r="EXM60" s="4"/>
      <c r="EXU60" s="4"/>
      <c r="EYC60" s="4"/>
      <c r="EYK60" s="4"/>
      <c r="EYS60" s="4"/>
      <c r="EZA60" s="4"/>
      <c r="EZI60" s="4"/>
      <c r="EZQ60" s="4"/>
      <c r="EZY60" s="4"/>
      <c r="FAG60" s="4"/>
      <c r="FAO60" s="4"/>
      <c r="FAW60" s="4"/>
      <c r="FBE60" s="4"/>
      <c r="FBM60" s="4"/>
      <c r="FBU60" s="4"/>
      <c r="FCC60" s="4"/>
      <c r="FCK60" s="4"/>
      <c r="FCS60" s="4"/>
      <c r="FDA60" s="4"/>
      <c r="FDI60" s="4"/>
      <c r="FDQ60" s="4"/>
      <c r="FDY60" s="4"/>
      <c r="FEG60" s="4"/>
      <c r="FEO60" s="4"/>
      <c r="FEW60" s="4"/>
      <c r="FFE60" s="4"/>
      <c r="FFM60" s="4"/>
      <c r="FFU60" s="4"/>
      <c r="FGC60" s="4"/>
      <c r="FGK60" s="4"/>
      <c r="FGS60" s="4"/>
      <c r="FHA60" s="4"/>
      <c r="FHI60" s="4"/>
      <c r="FHQ60" s="4"/>
      <c r="FHY60" s="4"/>
      <c r="FIG60" s="4"/>
      <c r="FIO60" s="4"/>
      <c r="FIW60" s="4"/>
      <c r="FJE60" s="4"/>
      <c r="FJM60" s="4"/>
      <c r="FJU60" s="4"/>
      <c r="FKC60" s="4"/>
      <c r="FKK60" s="4"/>
      <c r="FKS60" s="4"/>
      <c r="FLA60" s="4"/>
      <c r="FLI60" s="4"/>
      <c r="FLQ60" s="4"/>
      <c r="FLY60" s="4"/>
      <c r="FMG60" s="4"/>
      <c r="FMO60" s="4"/>
      <c r="FMW60" s="4"/>
      <c r="FNE60" s="4"/>
      <c r="FNM60" s="4"/>
      <c r="FNU60" s="4"/>
      <c r="FOC60" s="4"/>
      <c r="FOK60" s="4"/>
      <c r="FOS60" s="4"/>
      <c r="FPA60" s="4"/>
      <c r="FPI60" s="4"/>
      <c r="FPQ60" s="4"/>
      <c r="FPY60" s="4"/>
      <c r="FQG60" s="4"/>
      <c r="FQO60" s="4"/>
      <c r="FQW60" s="4"/>
      <c r="FRE60" s="4"/>
      <c r="FRM60" s="4"/>
      <c r="FRU60" s="4"/>
      <c r="FSC60" s="4"/>
      <c r="FSK60" s="4"/>
      <c r="FSS60" s="4"/>
      <c r="FTA60" s="4"/>
      <c r="FTI60" s="4"/>
      <c r="FTQ60" s="4"/>
      <c r="FTY60" s="4"/>
      <c r="FUG60" s="4"/>
      <c r="FUO60" s="4"/>
      <c r="FUW60" s="4"/>
      <c r="FVE60" s="4"/>
      <c r="FVM60" s="4"/>
      <c r="FVU60" s="4"/>
      <c r="FWC60" s="4"/>
      <c r="FWK60" s="4"/>
      <c r="FWS60" s="4"/>
      <c r="FXA60" s="4"/>
      <c r="FXI60" s="4"/>
      <c r="FXQ60" s="4"/>
      <c r="FXY60" s="4"/>
      <c r="FYG60" s="4"/>
      <c r="FYO60" s="4"/>
      <c r="FYW60" s="4"/>
      <c r="FZE60" s="4"/>
      <c r="FZM60" s="4"/>
      <c r="FZU60" s="4"/>
      <c r="GAC60" s="4"/>
      <c r="GAK60" s="4"/>
      <c r="GAS60" s="4"/>
      <c r="GBA60" s="4"/>
      <c r="GBI60" s="4"/>
      <c r="GBQ60" s="4"/>
      <c r="GBY60" s="4"/>
      <c r="GCG60" s="4"/>
      <c r="GCO60" s="4"/>
      <c r="GCW60" s="4"/>
      <c r="GDE60" s="4"/>
      <c r="GDM60" s="4"/>
      <c r="GDU60" s="4"/>
      <c r="GEC60" s="4"/>
      <c r="GEK60" s="4"/>
      <c r="GES60" s="4"/>
      <c r="GFA60" s="4"/>
      <c r="GFI60" s="4"/>
      <c r="GFQ60" s="4"/>
      <c r="GFY60" s="4"/>
      <c r="GGG60" s="4"/>
      <c r="GGO60" s="4"/>
      <c r="GGW60" s="4"/>
      <c r="GHE60" s="4"/>
      <c r="GHM60" s="4"/>
      <c r="GHU60" s="4"/>
      <c r="GIC60" s="4"/>
      <c r="GIK60" s="4"/>
      <c r="GIS60" s="4"/>
      <c r="GJA60" s="4"/>
      <c r="GJI60" s="4"/>
      <c r="GJQ60" s="4"/>
      <c r="GJY60" s="4"/>
      <c r="GKG60" s="4"/>
      <c r="GKO60" s="4"/>
      <c r="GKW60" s="4"/>
      <c r="GLE60" s="4"/>
      <c r="GLM60" s="4"/>
      <c r="GLU60" s="4"/>
      <c r="GMC60" s="4"/>
      <c r="GMK60" s="4"/>
      <c r="GMS60" s="4"/>
      <c r="GNA60" s="4"/>
      <c r="GNI60" s="4"/>
      <c r="GNQ60" s="4"/>
      <c r="GNY60" s="4"/>
      <c r="GOG60" s="4"/>
      <c r="GOO60" s="4"/>
      <c r="GOW60" s="4"/>
      <c r="GPE60" s="4"/>
      <c r="GPM60" s="4"/>
      <c r="GPU60" s="4"/>
      <c r="GQC60" s="4"/>
      <c r="GQK60" s="4"/>
      <c r="GQS60" s="4"/>
      <c r="GRA60" s="4"/>
      <c r="GRI60" s="4"/>
      <c r="GRQ60" s="4"/>
      <c r="GRY60" s="4"/>
      <c r="GSG60" s="4"/>
      <c r="GSO60" s="4"/>
      <c r="GSW60" s="4"/>
      <c r="GTE60" s="4"/>
      <c r="GTM60" s="4"/>
      <c r="GTU60" s="4"/>
      <c r="GUC60" s="4"/>
      <c r="GUK60" s="4"/>
      <c r="GUS60" s="4"/>
      <c r="GVA60" s="4"/>
      <c r="GVI60" s="4"/>
      <c r="GVQ60" s="4"/>
      <c r="GVY60" s="4"/>
      <c r="GWG60" s="4"/>
      <c r="GWO60" s="4"/>
      <c r="GWW60" s="4"/>
      <c r="GXE60" s="4"/>
      <c r="GXM60" s="4"/>
      <c r="GXU60" s="4"/>
      <c r="GYC60" s="4"/>
      <c r="GYK60" s="4"/>
      <c r="GYS60" s="4"/>
      <c r="GZA60" s="4"/>
      <c r="GZI60" s="4"/>
      <c r="GZQ60" s="4"/>
      <c r="GZY60" s="4"/>
      <c r="HAG60" s="4"/>
      <c r="HAO60" s="4"/>
      <c r="HAW60" s="4"/>
      <c r="HBE60" s="4"/>
      <c r="HBM60" s="4"/>
      <c r="HBU60" s="4"/>
      <c r="HCC60" s="4"/>
      <c r="HCK60" s="4"/>
      <c r="HCS60" s="4"/>
      <c r="HDA60" s="4"/>
      <c r="HDI60" s="4"/>
      <c r="HDQ60" s="4"/>
      <c r="HDY60" s="4"/>
      <c r="HEG60" s="4"/>
      <c r="HEO60" s="4"/>
      <c r="HEW60" s="4"/>
      <c r="HFE60" s="4"/>
      <c r="HFM60" s="4"/>
      <c r="HFU60" s="4"/>
      <c r="HGC60" s="4"/>
      <c r="HGK60" s="4"/>
      <c r="HGS60" s="4"/>
      <c r="HHA60" s="4"/>
      <c r="HHI60" s="4"/>
      <c r="HHQ60" s="4"/>
      <c r="HHY60" s="4"/>
      <c r="HIG60" s="4"/>
      <c r="HIO60" s="4"/>
      <c r="HIW60" s="4"/>
      <c r="HJE60" s="4"/>
      <c r="HJM60" s="4"/>
      <c r="HJU60" s="4"/>
      <c r="HKC60" s="4"/>
      <c r="HKK60" s="4"/>
      <c r="HKS60" s="4"/>
      <c r="HLA60" s="4"/>
      <c r="HLI60" s="4"/>
      <c r="HLQ60" s="4"/>
      <c r="HLY60" s="4"/>
      <c r="HMG60" s="4"/>
      <c r="HMO60" s="4"/>
      <c r="HMW60" s="4"/>
      <c r="HNE60" s="4"/>
      <c r="HNM60" s="4"/>
      <c r="HNU60" s="4"/>
      <c r="HOC60" s="4"/>
      <c r="HOK60" s="4"/>
      <c r="HOS60" s="4"/>
      <c r="HPA60" s="4"/>
      <c r="HPI60" s="4"/>
      <c r="HPQ60" s="4"/>
      <c r="HPY60" s="4"/>
      <c r="HQG60" s="4"/>
      <c r="HQO60" s="4"/>
      <c r="HQW60" s="4"/>
      <c r="HRE60" s="4"/>
      <c r="HRM60" s="4"/>
      <c r="HRU60" s="4"/>
      <c r="HSC60" s="4"/>
      <c r="HSK60" s="4"/>
      <c r="HSS60" s="4"/>
      <c r="HTA60" s="4"/>
      <c r="HTI60" s="4"/>
      <c r="HTQ60" s="4"/>
      <c r="HTY60" s="4"/>
      <c r="HUG60" s="4"/>
      <c r="HUO60" s="4"/>
      <c r="HUW60" s="4"/>
      <c r="HVE60" s="4"/>
      <c r="HVM60" s="4"/>
      <c r="HVU60" s="4"/>
      <c r="HWC60" s="4"/>
      <c r="HWK60" s="4"/>
      <c r="HWS60" s="4"/>
      <c r="HXA60" s="4"/>
      <c r="HXI60" s="4"/>
      <c r="HXQ60" s="4"/>
      <c r="HXY60" s="4"/>
      <c r="HYG60" s="4"/>
      <c r="HYO60" s="4"/>
      <c r="HYW60" s="4"/>
      <c r="HZE60" s="4"/>
      <c r="HZM60" s="4"/>
      <c r="HZU60" s="4"/>
      <c r="IAC60" s="4"/>
      <c r="IAK60" s="4"/>
      <c r="IAS60" s="4"/>
      <c r="IBA60" s="4"/>
      <c r="IBI60" s="4"/>
      <c r="IBQ60" s="4"/>
      <c r="IBY60" s="4"/>
      <c r="ICG60" s="4"/>
      <c r="ICO60" s="4"/>
      <c r="ICW60" s="4"/>
      <c r="IDE60" s="4"/>
      <c r="IDM60" s="4"/>
      <c r="IDU60" s="4"/>
      <c r="IEC60" s="4"/>
      <c r="IEK60" s="4"/>
      <c r="IES60" s="4"/>
      <c r="IFA60" s="4"/>
      <c r="IFI60" s="4"/>
      <c r="IFQ60" s="4"/>
      <c r="IFY60" s="4"/>
      <c r="IGG60" s="4"/>
      <c r="IGO60" s="4"/>
      <c r="IGW60" s="4"/>
      <c r="IHE60" s="4"/>
      <c r="IHM60" s="4"/>
      <c r="IHU60" s="4"/>
      <c r="IIC60" s="4"/>
      <c r="IIK60" s="4"/>
      <c r="IIS60" s="4"/>
      <c r="IJA60" s="4"/>
      <c r="IJI60" s="4"/>
      <c r="IJQ60" s="4"/>
      <c r="IJY60" s="4"/>
      <c r="IKG60" s="4"/>
      <c r="IKO60" s="4"/>
      <c r="IKW60" s="4"/>
      <c r="ILE60" s="4"/>
      <c r="ILM60" s="4"/>
      <c r="ILU60" s="4"/>
      <c r="IMC60" s="4"/>
      <c r="IMK60" s="4"/>
      <c r="IMS60" s="4"/>
      <c r="INA60" s="4"/>
      <c r="INI60" s="4"/>
      <c r="INQ60" s="4"/>
      <c r="INY60" s="4"/>
      <c r="IOG60" s="4"/>
      <c r="IOO60" s="4"/>
      <c r="IOW60" s="4"/>
      <c r="IPE60" s="4"/>
      <c r="IPM60" s="4"/>
      <c r="IPU60" s="4"/>
      <c r="IQC60" s="4"/>
      <c r="IQK60" s="4"/>
      <c r="IQS60" s="4"/>
      <c r="IRA60" s="4"/>
      <c r="IRI60" s="4"/>
      <c r="IRQ60" s="4"/>
      <c r="IRY60" s="4"/>
      <c r="ISG60" s="4"/>
      <c r="ISO60" s="4"/>
      <c r="ISW60" s="4"/>
      <c r="ITE60" s="4"/>
      <c r="ITM60" s="4"/>
      <c r="ITU60" s="4"/>
      <c r="IUC60" s="4"/>
      <c r="IUK60" s="4"/>
      <c r="IUS60" s="4"/>
      <c r="IVA60" s="4"/>
      <c r="IVI60" s="4"/>
      <c r="IVQ60" s="4"/>
      <c r="IVY60" s="4"/>
      <c r="IWG60" s="4"/>
      <c r="IWO60" s="4"/>
      <c r="IWW60" s="4"/>
      <c r="IXE60" s="4"/>
      <c r="IXM60" s="4"/>
      <c r="IXU60" s="4"/>
      <c r="IYC60" s="4"/>
      <c r="IYK60" s="4"/>
      <c r="IYS60" s="4"/>
      <c r="IZA60" s="4"/>
      <c r="IZI60" s="4"/>
      <c r="IZQ60" s="4"/>
      <c r="IZY60" s="4"/>
      <c r="JAG60" s="4"/>
      <c r="JAO60" s="4"/>
      <c r="JAW60" s="4"/>
      <c r="JBE60" s="4"/>
      <c r="JBM60" s="4"/>
      <c r="JBU60" s="4"/>
      <c r="JCC60" s="4"/>
      <c r="JCK60" s="4"/>
      <c r="JCS60" s="4"/>
      <c r="JDA60" s="4"/>
      <c r="JDI60" s="4"/>
      <c r="JDQ60" s="4"/>
      <c r="JDY60" s="4"/>
      <c r="JEG60" s="4"/>
      <c r="JEO60" s="4"/>
      <c r="JEW60" s="4"/>
      <c r="JFE60" s="4"/>
      <c r="JFM60" s="4"/>
      <c r="JFU60" s="4"/>
      <c r="JGC60" s="4"/>
      <c r="JGK60" s="4"/>
      <c r="JGS60" s="4"/>
      <c r="JHA60" s="4"/>
      <c r="JHI60" s="4"/>
      <c r="JHQ60" s="4"/>
      <c r="JHY60" s="4"/>
      <c r="JIG60" s="4"/>
      <c r="JIO60" s="4"/>
      <c r="JIW60" s="4"/>
      <c r="JJE60" s="4"/>
      <c r="JJM60" s="4"/>
      <c r="JJU60" s="4"/>
      <c r="JKC60" s="4"/>
      <c r="JKK60" s="4"/>
      <c r="JKS60" s="4"/>
      <c r="JLA60" s="4"/>
      <c r="JLI60" s="4"/>
      <c r="JLQ60" s="4"/>
      <c r="JLY60" s="4"/>
      <c r="JMG60" s="4"/>
      <c r="JMO60" s="4"/>
      <c r="JMW60" s="4"/>
      <c r="JNE60" s="4"/>
      <c r="JNM60" s="4"/>
      <c r="JNU60" s="4"/>
      <c r="JOC60" s="4"/>
      <c r="JOK60" s="4"/>
      <c r="JOS60" s="4"/>
      <c r="JPA60" s="4"/>
      <c r="JPI60" s="4"/>
      <c r="JPQ60" s="4"/>
      <c r="JPY60" s="4"/>
      <c r="JQG60" s="4"/>
      <c r="JQO60" s="4"/>
      <c r="JQW60" s="4"/>
      <c r="JRE60" s="4"/>
      <c r="JRM60" s="4"/>
      <c r="JRU60" s="4"/>
      <c r="JSC60" s="4"/>
      <c r="JSK60" s="4"/>
      <c r="JSS60" s="4"/>
      <c r="JTA60" s="4"/>
      <c r="JTI60" s="4"/>
      <c r="JTQ60" s="4"/>
      <c r="JTY60" s="4"/>
      <c r="JUG60" s="4"/>
      <c r="JUO60" s="4"/>
      <c r="JUW60" s="4"/>
      <c r="JVE60" s="4"/>
      <c r="JVM60" s="4"/>
      <c r="JVU60" s="4"/>
      <c r="JWC60" s="4"/>
      <c r="JWK60" s="4"/>
      <c r="JWS60" s="4"/>
      <c r="JXA60" s="4"/>
      <c r="JXI60" s="4"/>
      <c r="JXQ60" s="4"/>
      <c r="JXY60" s="4"/>
      <c r="JYG60" s="4"/>
      <c r="JYO60" s="4"/>
      <c r="JYW60" s="4"/>
      <c r="JZE60" s="4"/>
      <c r="JZM60" s="4"/>
      <c r="JZU60" s="4"/>
      <c r="KAC60" s="4"/>
      <c r="KAK60" s="4"/>
      <c r="KAS60" s="4"/>
      <c r="KBA60" s="4"/>
      <c r="KBI60" s="4"/>
      <c r="KBQ60" s="4"/>
      <c r="KBY60" s="4"/>
      <c r="KCG60" s="4"/>
      <c r="KCO60" s="4"/>
      <c r="KCW60" s="4"/>
      <c r="KDE60" s="4"/>
      <c r="KDM60" s="4"/>
      <c r="KDU60" s="4"/>
      <c r="KEC60" s="4"/>
      <c r="KEK60" s="4"/>
      <c r="KES60" s="4"/>
      <c r="KFA60" s="4"/>
      <c r="KFI60" s="4"/>
      <c r="KFQ60" s="4"/>
      <c r="KFY60" s="4"/>
      <c r="KGG60" s="4"/>
      <c r="KGO60" s="4"/>
      <c r="KGW60" s="4"/>
      <c r="KHE60" s="4"/>
      <c r="KHM60" s="4"/>
      <c r="KHU60" s="4"/>
      <c r="KIC60" s="4"/>
      <c r="KIK60" s="4"/>
      <c r="KIS60" s="4"/>
      <c r="KJA60" s="4"/>
      <c r="KJI60" s="4"/>
      <c r="KJQ60" s="4"/>
      <c r="KJY60" s="4"/>
      <c r="KKG60" s="4"/>
      <c r="KKO60" s="4"/>
      <c r="KKW60" s="4"/>
      <c r="KLE60" s="4"/>
      <c r="KLM60" s="4"/>
      <c r="KLU60" s="4"/>
      <c r="KMC60" s="4"/>
      <c r="KMK60" s="4"/>
      <c r="KMS60" s="4"/>
      <c r="KNA60" s="4"/>
      <c r="KNI60" s="4"/>
      <c r="KNQ60" s="4"/>
      <c r="KNY60" s="4"/>
      <c r="KOG60" s="4"/>
      <c r="KOO60" s="4"/>
      <c r="KOW60" s="4"/>
      <c r="KPE60" s="4"/>
      <c r="KPM60" s="4"/>
      <c r="KPU60" s="4"/>
      <c r="KQC60" s="4"/>
      <c r="KQK60" s="4"/>
      <c r="KQS60" s="4"/>
      <c r="KRA60" s="4"/>
      <c r="KRI60" s="4"/>
      <c r="KRQ60" s="4"/>
      <c r="KRY60" s="4"/>
      <c r="KSG60" s="4"/>
      <c r="KSO60" s="4"/>
      <c r="KSW60" s="4"/>
      <c r="KTE60" s="4"/>
      <c r="KTM60" s="4"/>
      <c r="KTU60" s="4"/>
      <c r="KUC60" s="4"/>
      <c r="KUK60" s="4"/>
      <c r="KUS60" s="4"/>
      <c r="KVA60" s="4"/>
      <c r="KVI60" s="4"/>
      <c r="KVQ60" s="4"/>
      <c r="KVY60" s="4"/>
      <c r="KWG60" s="4"/>
      <c r="KWO60" s="4"/>
      <c r="KWW60" s="4"/>
      <c r="KXE60" s="4"/>
      <c r="KXM60" s="4"/>
      <c r="KXU60" s="4"/>
      <c r="KYC60" s="4"/>
      <c r="KYK60" s="4"/>
      <c r="KYS60" s="4"/>
      <c r="KZA60" s="4"/>
      <c r="KZI60" s="4"/>
      <c r="KZQ60" s="4"/>
      <c r="KZY60" s="4"/>
      <c r="LAG60" s="4"/>
      <c r="LAO60" s="4"/>
      <c r="LAW60" s="4"/>
      <c r="LBE60" s="4"/>
      <c r="LBM60" s="4"/>
      <c r="LBU60" s="4"/>
      <c r="LCC60" s="4"/>
      <c r="LCK60" s="4"/>
      <c r="LCS60" s="4"/>
      <c r="LDA60" s="4"/>
      <c r="LDI60" s="4"/>
      <c r="LDQ60" s="4"/>
      <c r="LDY60" s="4"/>
      <c r="LEG60" s="4"/>
      <c r="LEO60" s="4"/>
      <c r="LEW60" s="4"/>
      <c r="LFE60" s="4"/>
      <c r="LFM60" s="4"/>
      <c r="LFU60" s="4"/>
      <c r="LGC60" s="4"/>
      <c r="LGK60" s="4"/>
      <c r="LGS60" s="4"/>
      <c r="LHA60" s="4"/>
      <c r="LHI60" s="4"/>
      <c r="LHQ60" s="4"/>
      <c r="LHY60" s="4"/>
      <c r="LIG60" s="4"/>
      <c r="LIO60" s="4"/>
      <c r="LIW60" s="4"/>
      <c r="LJE60" s="4"/>
      <c r="LJM60" s="4"/>
      <c r="LJU60" s="4"/>
      <c r="LKC60" s="4"/>
      <c r="LKK60" s="4"/>
      <c r="LKS60" s="4"/>
      <c r="LLA60" s="4"/>
      <c r="LLI60" s="4"/>
      <c r="LLQ60" s="4"/>
      <c r="LLY60" s="4"/>
      <c r="LMG60" s="4"/>
      <c r="LMO60" s="4"/>
      <c r="LMW60" s="4"/>
      <c r="LNE60" s="4"/>
      <c r="LNM60" s="4"/>
      <c r="LNU60" s="4"/>
      <c r="LOC60" s="4"/>
      <c r="LOK60" s="4"/>
      <c r="LOS60" s="4"/>
      <c r="LPA60" s="4"/>
      <c r="LPI60" s="4"/>
      <c r="LPQ60" s="4"/>
      <c r="LPY60" s="4"/>
      <c r="LQG60" s="4"/>
      <c r="LQO60" s="4"/>
      <c r="LQW60" s="4"/>
      <c r="LRE60" s="4"/>
      <c r="LRM60" s="4"/>
      <c r="LRU60" s="4"/>
      <c r="LSC60" s="4"/>
      <c r="LSK60" s="4"/>
      <c r="LSS60" s="4"/>
      <c r="LTA60" s="4"/>
      <c r="LTI60" s="4"/>
      <c r="LTQ60" s="4"/>
      <c r="LTY60" s="4"/>
      <c r="LUG60" s="4"/>
      <c r="LUO60" s="4"/>
      <c r="LUW60" s="4"/>
      <c r="LVE60" s="4"/>
      <c r="LVM60" s="4"/>
      <c r="LVU60" s="4"/>
      <c r="LWC60" s="4"/>
      <c r="LWK60" s="4"/>
      <c r="LWS60" s="4"/>
      <c r="LXA60" s="4"/>
      <c r="LXI60" s="4"/>
      <c r="LXQ60" s="4"/>
      <c r="LXY60" s="4"/>
      <c r="LYG60" s="4"/>
      <c r="LYO60" s="4"/>
      <c r="LYW60" s="4"/>
      <c r="LZE60" s="4"/>
      <c r="LZM60" s="4"/>
      <c r="LZU60" s="4"/>
      <c r="MAC60" s="4"/>
      <c r="MAK60" s="4"/>
      <c r="MAS60" s="4"/>
      <c r="MBA60" s="4"/>
      <c r="MBI60" s="4"/>
      <c r="MBQ60" s="4"/>
      <c r="MBY60" s="4"/>
      <c r="MCG60" s="4"/>
      <c r="MCO60" s="4"/>
      <c r="MCW60" s="4"/>
      <c r="MDE60" s="4"/>
      <c r="MDM60" s="4"/>
      <c r="MDU60" s="4"/>
      <c r="MEC60" s="4"/>
      <c r="MEK60" s="4"/>
      <c r="MES60" s="4"/>
      <c r="MFA60" s="4"/>
      <c r="MFI60" s="4"/>
      <c r="MFQ60" s="4"/>
      <c r="MFY60" s="4"/>
      <c r="MGG60" s="4"/>
      <c r="MGO60" s="4"/>
      <c r="MGW60" s="4"/>
      <c r="MHE60" s="4"/>
      <c r="MHM60" s="4"/>
      <c r="MHU60" s="4"/>
      <c r="MIC60" s="4"/>
      <c r="MIK60" s="4"/>
      <c r="MIS60" s="4"/>
      <c r="MJA60" s="4"/>
      <c r="MJI60" s="4"/>
      <c r="MJQ60" s="4"/>
      <c r="MJY60" s="4"/>
      <c r="MKG60" s="4"/>
      <c r="MKO60" s="4"/>
      <c r="MKW60" s="4"/>
      <c r="MLE60" s="4"/>
      <c r="MLM60" s="4"/>
      <c r="MLU60" s="4"/>
      <c r="MMC60" s="4"/>
      <c r="MMK60" s="4"/>
      <c r="MMS60" s="4"/>
      <c r="MNA60" s="4"/>
      <c r="MNI60" s="4"/>
      <c r="MNQ60" s="4"/>
      <c r="MNY60" s="4"/>
      <c r="MOG60" s="4"/>
      <c r="MOO60" s="4"/>
      <c r="MOW60" s="4"/>
      <c r="MPE60" s="4"/>
      <c r="MPM60" s="4"/>
      <c r="MPU60" s="4"/>
      <c r="MQC60" s="4"/>
      <c r="MQK60" s="4"/>
      <c r="MQS60" s="4"/>
      <c r="MRA60" s="4"/>
      <c r="MRI60" s="4"/>
      <c r="MRQ60" s="4"/>
      <c r="MRY60" s="4"/>
      <c r="MSG60" s="4"/>
      <c r="MSO60" s="4"/>
      <c r="MSW60" s="4"/>
      <c r="MTE60" s="4"/>
      <c r="MTM60" s="4"/>
      <c r="MTU60" s="4"/>
      <c r="MUC60" s="4"/>
      <c r="MUK60" s="4"/>
      <c r="MUS60" s="4"/>
      <c r="MVA60" s="4"/>
      <c r="MVI60" s="4"/>
      <c r="MVQ60" s="4"/>
      <c r="MVY60" s="4"/>
      <c r="MWG60" s="4"/>
      <c r="MWO60" s="4"/>
      <c r="MWW60" s="4"/>
      <c r="MXE60" s="4"/>
      <c r="MXM60" s="4"/>
      <c r="MXU60" s="4"/>
      <c r="MYC60" s="4"/>
      <c r="MYK60" s="4"/>
      <c r="MYS60" s="4"/>
      <c r="MZA60" s="4"/>
      <c r="MZI60" s="4"/>
      <c r="MZQ60" s="4"/>
      <c r="MZY60" s="4"/>
      <c r="NAG60" s="4"/>
      <c r="NAO60" s="4"/>
      <c r="NAW60" s="4"/>
      <c r="NBE60" s="4"/>
      <c r="NBM60" s="4"/>
      <c r="NBU60" s="4"/>
      <c r="NCC60" s="4"/>
      <c r="NCK60" s="4"/>
      <c r="NCS60" s="4"/>
      <c r="NDA60" s="4"/>
      <c r="NDI60" s="4"/>
      <c r="NDQ60" s="4"/>
      <c r="NDY60" s="4"/>
      <c r="NEG60" s="4"/>
      <c r="NEO60" s="4"/>
      <c r="NEW60" s="4"/>
      <c r="NFE60" s="4"/>
      <c r="NFM60" s="4"/>
      <c r="NFU60" s="4"/>
      <c r="NGC60" s="4"/>
      <c r="NGK60" s="4"/>
      <c r="NGS60" s="4"/>
      <c r="NHA60" s="4"/>
      <c r="NHI60" s="4"/>
      <c r="NHQ60" s="4"/>
      <c r="NHY60" s="4"/>
      <c r="NIG60" s="4"/>
      <c r="NIO60" s="4"/>
      <c r="NIW60" s="4"/>
      <c r="NJE60" s="4"/>
      <c r="NJM60" s="4"/>
      <c r="NJU60" s="4"/>
      <c r="NKC60" s="4"/>
      <c r="NKK60" s="4"/>
      <c r="NKS60" s="4"/>
      <c r="NLA60" s="4"/>
      <c r="NLI60" s="4"/>
      <c r="NLQ60" s="4"/>
      <c r="NLY60" s="4"/>
      <c r="NMG60" s="4"/>
      <c r="NMO60" s="4"/>
      <c r="NMW60" s="4"/>
      <c r="NNE60" s="4"/>
      <c r="NNM60" s="4"/>
      <c r="NNU60" s="4"/>
      <c r="NOC60" s="4"/>
      <c r="NOK60" s="4"/>
      <c r="NOS60" s="4"/>
      <c r="NPA60" s="4"/>
      <c r="NPI60" s="4"/>
      <c r="NPQ60" s="4"/>
      <c r="NPY60" s="4"/>
      <c r="NQG60" s="4"/>
      <c r="NQO60" s="4"/>
      <c r="NQW60" s="4"/>
      <c r="NRE60" s="4"/>
      <c r="NRM60" s="4"/>
      <c r="NRU60" s="4"/>
      <c r="NSC60" s="4"/>
      <c r="NSK60" s="4"/>
      <c r="NSS60" s="4"/>
      <c r="NTA60" s="4"/>
      <c r="NTI60" s="4"/>
      <c r="NTQ60" s="4"/>
      <c r="NTY60" s="4"/>
      <c r="NUG60" s="4"/>
      <c r="NUO60" s="4"/>
      <c r="NUW60" s="4"/>
      <c r="NVE60" s="4"/>
      <c r="NVM60" s="4"/>
      <c r="NVU60" s="4"/>
      <c r="NWC60" s="4"/>
      <c r="NWK60" s="4"/>
      <c r="NWS60" s="4"/>
      <c r="NXA60" s="4"/>
      <c r="NXI60" s="4"/>
      <c r="NXQ60" s="4"/>
      <c r="NXY60" s="4"/>
      <c r="NYG60" s="4"/>
      <c r="NYO60" s="4"/>
      <c r="NYW60" s="4"/>
      <c r="NZE60" s="4"/>
      <c r="NZM60" s="4"/>
      <c r="NZU60" s="4"/>
      <c r="OAC60" s="4"/>
      <c r="OAK60" s="4"/>
      <c r="OAS60" s="4"/>
      <c r="OBA60" s="4"/>
      <c r="OBI60" s="4"/>
      <c r="OBQ60" s="4"/>
      <c r="OBY60" s="4"/>
      <c r="OCG60" s="4"/>
      <c r="OCO60" s="4"/>
      <c r="OCW60" s="4"/>
      <c r="ODE60" s="4"/>
      <c r="ODM60" s="4"/>
      <c r="ODU60" s="4"/>
      <c r="OEC60" s="4"/>
      <c r="OEK60" s="4"/>
      <c r="OES60" s="4"/>
      <c r="OFA60" s="4"/>
      <c r="OFI60" s="4"/>
      <c r="OFQ60" s="4"/>
      <c r="OFY60" s="4"/>
      <c r="OGG60" s="4"/>
      <c r="OGO60" s="4"/>
      <c r="OGW60" s="4"/>
      <c r="OHE60" s="4"/>
      <c r="OHM60" s="4"/>
      <c r="OHU60" s="4"/>
      <c r="OIC60" s="4"/>
      <c r="OIK60" s="4"/>
      <c r="OIS60" s="4"/>
      <c r="OJA60" s="4"/>
      <c r="OJI60" s="4"/>
      <c r="OJQ60" s="4"/>
      <c r="OJY60" s="4"/>
      <c r="OKG60" s="4"/>
      <c r="OKO60" s="4"/>
      <c r="OKW60" s="4"/>
      <c r="OLE60" s="4"/>
      <c r="OLM60" s="4"/>
      <c r="OLU60" s="4"/>
      <c r="OMC60" s="4"/>
      <c r="OMK60" s="4"/>
      <c r="OMS60" s="4"/>
      <c r="ONA60" s="4"/>
      <c r="ONI60" s="4"/>
      <c r="ONQ60" s="4"/>
      <c r="ONY60" s="4"/>
      <c r="OOG60" s="4"/>
      <c r="OOO60" s="4"/>
      <c r="OOW60" s="4"/>
      <c r="OPE60" s="4"/>
      <c r="OPM60" s="4"/>
      <c r="OPU60" s="4"/>
      <c r="OQC60" s="4"/>
      <c r="OQK60" s="4"/>
      <c r="OQS60" s="4"/>
      <c r="ORA60" s="4"/>
      <c r="ORI60" s="4"/>
      <c r="ORQ60" s="4"/>
      <c r="ORY60" s="4"/>
      <c r="OSG60" s="4"/>
      <c r="OSO60" s="4"/>
      <c r="OSW60" s="4"/>
      <c r="OTE60" s="4"/>
      <c r="OTM60" s="4"/>
      <c r="OTU60" s="4"/>
      <c r="OUC60" s="4"/>
      <c r="OUK60" s="4"/>
      <c r="OUS60" s="4"/>
      <c r="OVA60" s="4"/>
      <c r="OVI60" s="4"/>
      <c r="OVQ60" s="4"/>
      <c r="OVY60" s="4"/>
      <c r="OWG60" s="4"/>
      <c r="OWO60" s="4"/>
      <c r="OWW60" s="4"/>
      <c r="OXE60" s="4"/>
      <c r="OXM60" s="4"/>
      <c r="OXU60" s="4"/>
      <c r="OYC60" s="4"/>
      <c r="OYK60" s="4"/>
      <c r="OYS60" s="4"/>
      <c r="OZA60" s="4"/>
      <c r="OZI60" s="4"/>
      <c r="OZQ60" s="4"/>
      <c r="OZY60" s="4"/>
      <c r="PAG60" s="4"/>
      <c r="PAO60" s="4"/>
      <c r="PAW60" s="4"/>
      <c r="PBE60" s="4"/>
      <c r="PBM60" s="4"/>
      <c r="PBU60" s="4"/>
      <c r="PCC60" s="4"/>
      <c r="PCK60" s="4"/>
      <c r="PCS60" s="4"/>
      <c r="PDA60" s="4"/>
      <c r="PDI60" s="4"/>
      <c r="PDQ60" s="4"/>
      <c r="PDY60" s="4"/>
      <c r="PEG60" s="4"/>
      <c r="PEO60" s="4"/>
      <c r="PEW60" s="4"/>
      <c r="PFE60" s="4"/>
      <c r="PFM60" s="4"/>
      <c r="PFU60" s="4"/>
      <c r="PGC60" s="4"/>
      <c r="PGK60" s="4"/>
      <c r="PGS60" s="4"/>
      <c r="PHA60" s="4"/>
      <c r="PHI60" s="4"/>
      <c r="PHQ60" s="4"/>
      <c r="PHY60" s="4"/>
      <c r="PIG60" s="4"/>
      <c r="PIO60" s="4"/>
      <c r="PIW60" s="4"/>
      <c r="PJE60" s="4"/>
      <c r="PJM60" s="4"/>
      <c r="PJU60" s="4"/>
      <c r="PKC60" s="4"/>
      <c r="PKK60" s="4"/>
      <c r="PKS60" s="4"/>
      <c r="PLA60" s="4"/>
      <c r="PLI60" s="4"/>
      <c r="PLQ60" s="4"/>
      <c r="PLY60" s="4"/>
      <c r="PMG60" s="4"/>
      <c r="PMO60" s="4"/>
      <c r="PMW60" s="4"/>
      <c r="PNE60" s="4"/>
      <c r="PNM60" s="4"/>
      <c r="PNU60" s="4"/>
      <c r="POC60" s="4"/>
      <c r="POK60" s="4"/>
      <c r="POS60" s="4"/>
      <c r="PPA60" s="4"/>
      <c r="PPI60" s="4"/>
      <c r="PPQ60" s="4"/>
      <c r="PPY60" s="4"/>
      <c r="PQG60" s="4"/>
      <c r="PQO60" s="4"/>
      <c r="PQW60" s="4"/>
      <c r="PRE60" s="4"/>
      <c r="PRM60" s="4"/>
      <c r="PRU60" s="4"/>
      <c r="PSC60" s="4"/>
      <c r="PSK60" s="4"/>
      <c r="PSS60" s="4"/>
      <c r="PTA60" s="4"/>
      <c r="PTI60" s="4"/>
      <c r="PTQ60" s="4"/>
      <c r="PTY60" s="4"/>
      <c r="PUG60" s="4"/>
      <c r="PUO60" s="4"/>
      <c r="PUW60" s="4"/>
      <c r="PVE60" s="4"/>
      <c r="PVM60" s="4"/>
      <c r="PVU60" s="4"/>
      <c r="PWC60" s="4"/>
      <c r="PWK60" s="4"/>
      <c r="PWS60" s="4"/>
      <c r="PXA60" s="4"/>
      <c r="PXI60" s="4"/>
      <c r="PXQ60" s="4"/>
      <c r="PXY60" s="4"/>
      <c r="PYG60" s="4"/>
      <c r="PYO60" s="4"/>
      <c r="PYW60" s="4"/>
      <c r="PZE60" s="4"/>
      <c r="PZM60" s="4"/>
      <c r="PZU60" s="4"/>
      <c r="QAC60" s="4"/>
      <c r="QAK60" s="4"/>
      <c r="QAS60" s="4"/>
      <c r="QBA60" s="4"/>
      <c r="QBI60" s="4"/>
      <c r="QBQ60" s="4"/>
      <c r="QBY60" s="4"/>
      <c r="QCG60" s="4"/>
      <c r="QCO60" s="4"/>
      <c r="QCW60" s="4"/>
      <c r="QDE60" s="4"/>
      <c r="QDM60" s="4"/>
      <c r="QDU60" s="4"/>
      <c r="QEC60" s="4"/>
      <c r="QEK60" s="4"/>
      <c r="QES60" s="4"/>
      <c r="QFA60" s="4"/>
      <c r="QFI60" s="4"/>
      <c r="QFQ60" s="4"/>
      <c r="QFY60" s="4"/>
      <c r="QGG60" s="4"/>
      <c r="QGO60" s="4"/>
      <c r="QGW60" s="4"/>
      <c r="QHE60" s="4"/>
      <c r="QHM60" s="4"/>
      <c r="QHU60" s="4"/>
      <c r="QIC60" s="4"/>
      <c r="QIK60" s="4"/>
      <c r="QIS60" s="4"/>
      <c r="QJA60" s="4"/>
      <c r="QJI60" s="4"/>
      <c r="QJQ60" s="4"/>
      <c r="QJY60" s="4"/>
      <c r="QKG60" s="4"/>
      <c r="QKO60" s="4"/>
      <c r="QKW60" s="4"/>
      <c r="QLE60" s="4"/>
      <c r="QLM60" s="4"/>
      <c r="QLU60" s="4"/>
      <c r="QMC60" s="4"/>
      <c r="QMK60" s="4"/>
      <c r="QMS60" s="4"/>
      <c r="QNA60" s="4"/>
      <c r="QNI60" s="4"/>
      <c r="QNQ60" s="4"/>
      <c r="QNY60" s="4"/>
      <c r="QOG60" s="4"/>
      <c r="QOO60" s="4"/>
      <c r="QOW60" s="4"/>
      <c r="QPE60" s="4"/>
      <c r="QPM60" s="4"/>
      <c r="QPU60" s="4"/>
      <c r="QQC60" s="4"/>
      <c r="QQK60" s="4"/>
      <c r="QQS60" s="4"/>
      <c r="QRA60" s="4"/>
      <c r="QRI60" s="4"/>
      <c r="QRQ60" s="4"/>
      <c r="QRY60" s="4"/>
      <c r="QSG60" s="4"/>
      <c r="QSO60" s="4"/>
      <c r="QSW60" s="4"/>
      <c r="QTE60" s="4"/>
      <c r="QTM60" s="4"/>
      <c r="QTU60" s="4"/>
      <c r="QUC60" s="4"/>
      <c r="QUK60" s="4"/>
      <c r="QUS60" s="4"/>
      <c r="QVA60" s="4"/>
      <c r="QVI60" s="4"/>
      <c r="QVQ60" s="4"/>
      <c r="QVY60" s="4"/>
      <c r="QWG60" s="4"/>
      <c r="QWO60" s="4"/>
      <c r="QWW60" s="4"/>
      <c r="QXE60" s="4"/>
      <c r="QXM60" s="4"/>
      <c r="QXU60" s="4"/>
      <c r="QYC60" s="4"/>
      <c r="QYK60" s="4"/>
      <c r="QYS60" s="4"/>
      <c r="QZA60" s="4"/>
      <c r="QZI60" s="4"/>
      <c r="QZQ60" s="4"/>
      <c r="QZY60" s="4"/>
      <c r="RAG60" s="4"/>
      <c r="RAO60" s="4"/>
      <c r="RAW60" s="4"/>
      <c r="RBE60" s="4"/>
      <c r="RBM60" s="4"/>
      <c r="RBU60" s="4"/>
      <c r="RCC60" s="4"/>
      <c r="RCK60" s="4"/>
      <c r="RCS60" s="4"/>
      <c r="RDA60" s="4"/>
      <c r="RDI60" s="4"/>
      <c r="RDQ60" s="4"/>
      <c r="RDY60" s="4"/>
      <c r="REG60" s="4"/>
      <c r="REO60" s="4"/>
      <c r="REW60" s="4"/>
      <c r="RFE60" s="4"/>
      <c r="RFM60" s="4"/>
      <c r="RFU60" s="4"/>
      <c r="RGC60" s="4"/>
      <c r="RGK60" s="4"/>
      <c r="RGS60" s="4"/>
      <c r="RHA60" s="4"/>
      <c r="RHI60" s="4"/>
      <c r="RHQ60" s="4"/>
      <c r="RHY60" s="4"/>
      <c r="RIG60" s="4"/>
      <c r="RIO60" s="4"/>
      <c r="RIW60" s="4"/>
      <c r="RJE60" s="4"/>
      <c r="RJM60" s="4"/>
      <c r="RJU60" s="4"/>
      <c r="RKC60" s="4"/>
      <c r="RKK60" s="4"/>
      <c r="RKS60" s="4"/>
      <c r="RLA60" s="4"/>
      <c r="RLI60" s="4"/>
      <c r="RLQ60" s="4"/>
      <c r="RLY60" s="4"/>
      <c r="RMG60" s="4"/>
      <c r="RMO60" s="4"/>
      <c r="RMW60" s="4"/>
      <c r="RNE60" s="4"/>
      <c r="RNM60" s="4"/>
      <c r="RNU60" s="4"/>
      <c r="ROC60" s="4"/>
      <c r="ROK60" s="4"/>
      <c r="ROS60" s="4"/>
      <c r="RPA60" s="4"/>
      <c r="RPI60" s="4"/>
      <c r="RPQ60" s="4"/>
      <c r="RPY60" s="4"/>
      <c r="RQG60" s="4"/>
      <c r="RQO60" s="4"/>
      <c r="RQW60" s="4"/>
      <c r="RRE60" s="4"/>
      <c r="RRM60" s="4"/>
      <c r="RRU60" s="4"/>
      <c r="RSC60" s="4"/>
      <c r="RSK60" s="4"/>
      <c r="RSS60" s="4"/>
      <c r="RTA60" s="4"/>
      <c r="RTI60" s="4"/>
      <c r="RTQ60" s="4"/>
      <c r="RTY60" s="4"/>
      <c r="RUG60" s="4"/>
      <c r="RUO60" s="4"/>
      <c r="RUW60" s="4"/>
      <c r="RVE60" s="4"/>
      <c r="RVM60" s="4"/>
      <c r="RVU60" s="4"/>
      <c r="RWC60" s="4"/>
      <c r="RWK60" s="4"/>
      <c r="RWS60" s="4"/>
      <c r="RXA60" s="4"/>
      <c r="RXI60" s="4"/>
      <c r="RXQ60" s="4"/>
      <c r="RXY60" s="4"/>
      <c r="RYG60" s="4"/>
      <c r="RYO60" s="4"/>
      <c r="RYW60" s="4"/>
      <c r="RZE60" s="4"/>
      <c r="RZM60" s="4"/>
      <c r="RZU60" s="4"/>
      <c r="SAC60" s="4"/>
      <c r="SAK60" s="4"/>
      <c r="SAS60" s="4"/>
      <c r="SBA60" s="4"/>
      <c r="SBI60" s="4"/>
      <c r="SBQ60" s="4"/>
      <c r="SBY60" s="4"/>
      <c r="SCG60" s="4"/>
      <c r="SCO60" s="4"/>
      <c r="SCW60" s="4"/>
      <c r="SDE60" s="4"/>
      <c r="SDM60" s="4"/>
      <c r="SDU60" s="4"/>
      <c r="SEC60" s="4"/>
      <c r="SEK60" s="4"/>
      <c r="SES60" s="4"/>
      <c r="SFA60" s="4"/>
      <c r="SFI60" s="4"/>
      <c r="SFQ60" s="4"/>
      <c r="SFY60" s="4"/>
      <c r="SGG60" s="4"/>
      <c r="SGO60" s="4"/>
      <c r="SGW60" s="4"/>
      <c r="SHE60" s="4"/>
      <c r="SHM60" s="4"/>
      <c r="SHU60" s="4"/>
      <c r="SIC60" s="4"/>
      <c r="SIK60" s="4"/>
      <c r="SIS60" s="4"/>
      <c r="SJA60" s="4"/>
      <c r="SJI60" s="4"/>
      <c r="SJQ60" s="4"/>
      <c r="SJY60" s="4"/>
      <c r="SKG60" s="4"/>
      <c r="SKO60" s="4"/>
      <c r="SKW60" s="4"/>
      <c r="SLE60" s="4"/>
      <c r="SLM60" s="4"/>
      <c r="SLU60" s="4"/>
      <c r="SMC60" s="4"/>
      <c r="SMK60" s="4"/>
      <c r="SMS60" s="4"/>
      <c r="SNA60" s="4"/>
      <c r="SNI60" s="4"/>
      <c r="SNQ60" s="4"/>
      <c r="SNY60" s="4"/>
      <c r="SOG60" s="4"/>
      <c r="SOO60" s="4"/>
      <c r="SOW60" s="4"/>
      <c r="SPE60" s="4"/>
      <c r="SPM60" s="4"/>
      <c r="SPU60" s="4"/>
      <c r="SQC60" s="4"/>
      <c r="SQK60" s="4"/>
      <c r="SQS60" s="4"/>
      <c r="SRA60" s="4"/>
      <c r="SRI60" s="4"/>
      <c r="SRQ60" s="4"/>
      <c r="SRY60" s="4"/>
      <c r="SSG60" s="4"/>
      <c r="SSO60" s="4"/>
      <c r="SSW60" s="4"/>
      <c r="STE60" s="4"/>
      <c r="STM60" s="4"/>
      <c r="STU60" s="4"/>
      <c r="SUC60" s="4"/>
      <c r="SUK60" s="4"/>
      <c r="SUS60" s="4"/>
      <c r="SVA60" s="4"/>
      <c r="SVI60" s="4"/>
      <c r="SVQ60" s="4"/>
      <c r="SVY60" s="4"/>
      <c r="SWG60" s="4"/>
      <c r="SWO60" s="4"/>
      <c r="SWW60" s="4"/>
      <c r="SXE60" s="4"/>
      <c r="SXM60" s="4"/>
      <c r="SXU60" s="4"/>
      <c r="SYC60" s="4"/>
      <c r="SYK60" s="4"/>
      <c r="SYS60" s="4"/>
      <c r="SZA60" s="4"/>
      <c r="SZI60" s="4"/>
      <c r="SZQ60" s="4"/>
      <c r="SZY60" s="4"/>
      <c r="TAG60" s="4"/>
      <c r="TAO60" s="4"/>
      <c r="TAW60" s="4"/>
      <c r="TBE60" s="4"/>
      <c r="TBM60" s="4"/>
      <c r="TBU60" s="4"/>
      <c r="TCC60" s="4"/>
      <c r="TCK60" s="4"/>
      <c r="TCS60" s="4"/>
      <c r="TDA60" s="4"/>
      <c r="TDI60" s="4"/>
      <c r="TDQ60" s="4"/>
      <c r="TDY60" s="4"/>
      <c r="TEG60" s="4"/>
      <c r="TEO60" s="4"/>
      <c r="TEW60" s="4"/>
      <c r="TFE60" s="4"/>
      <c r="TFM60" s="4"/>
      <c r="TFU60" s="4"/>
      <c r="TGC60" s="4"/>
      <c r="TGK60" s="4"/>
      <c r="TGS60" s="4"/>
      <c r="THA60" s="4"/>
      <c r="THI60" s="4"/>
      <c r="THQ60" s="4"/>
      <c r="THY60" s="4"/>
      <c r="TIG60" s="4"/>
      <c r="TIO60" s="4"/>
      <c r="TIW60" s="4"/>
      <c r="TJE60" s="4"/>
      <c r="TJM60" s="4"/>
      <c r="TJU60" s="4"/>
      <c r="TKC60" s="4"/>
      <c r="TKK60" s="4"/>
      <c r="TKS60" s="4"/>
      <c r="TLA60" s="4"/>
      <c r="TLI60" s="4"/>
      <c r="TLQ60" s="4"/>
      <c r="TLY60" s="4"/>
      <c r="TMG60" s="4"/>
      <c r="TMO60" s="4"/>
      <c r="TMW60" s="4"/>
      <c r="TNE60" s="4"/>
      <c r="TNM60" s="4"/>
      <c r="TNU60" s="4"/>
      <c r="TOC60" s="4"/>
      <c r="TOK60" s="4"/>
      <c r="TOS60" s="4"/>
      <c r="TPA60" s="4"/>
      <c r="TPI60" s="4"/>
      <c r="TPQ60" s="4"/>
      <c r="TPY60" s="4"/>
      <c r="TQG60" s="4"/>
      <c r="TQO60" s="4"/>
      <c r="TQW60" s="4"/>
      <c r="TRE60" s="4"/>
      <c r="TRM60" s="4"/>
      <c r="TRU60" s="4"/>
      <c r="TSC60" s="4"/>
      <c r="TSK60" s="4"/>
      <c r="TSS60" s="4"/>
      <c r="TTA60" s="4"/>
      <c r="TTI60" s="4"/>
      <c r="TTQ60" s="4"/>
      <c r="TTY60" s="4"/>
      <c r="TUG60" s="4"/>
      <c r="TUO60" s="4"/>
      <c r="TUW60" s="4"/>
      <c r="TVE60" s="4"/>
      <c r="TVM60" s="4"/>
      <c r="TVU60" s="4"/>
      <c r="TWC60" s="4"/>
      <c r="TWK60" s="4"/>
      <c r="TWS60" s="4"/>
      <c r="TXA60" s="4"/>
      <c r="TXI60" s="4"/>
      <c r="TXQ60" s="4"/>
      <c r="TXY60" s="4"/>
      <c r="TYG60" s="4"/>
      <c r="TYO60" s="4"/>
      <c r="TYW60" s="4"/>
      <c r="TZE60" s="4"/>
      <c r="TZM60" s="4"/>
      <c r="TZU60" s="4"/>
      <c r="UAC60" s="4"/>
      <c r="UAK60" s="4"/>
      <c r="UAS60" s="4"/>
      <c r="UBA60" s="4"/>
      <c r="UBI60" s="4"/>
      <c r="UBQ60" s="4"/>
      <c r="UBY60" s="4"/>
      <c r="UCG60" s="4"/>
      <c r="UCO60" s="4"/>
      <c r="UCW60" s="4"/>
      <c r="UDE60" s="4"/>
      <c r="UDM60" s="4"/>
      <c r="UDU60" s="4"/>
      <c r="UEC60" s="4"/>
      <c r="UEK60" s="4"/>
      <c r="UES60" s="4"/>
      <c r="UFA60" s="4"/>
      <c r="UFI60" s="4"/>
      <c r="UFQ60" s="4"/>
      <c r="UFY60" s="4"/>
      <c r="UGG60" s="4"/>
      <c r="UGO60" s="4"/>
      <c r="UGW60" s="4"/>
      <c r="UHE60" s="4"/>
      <c r="UHM60" s="4"/>
      <c r="UHU60" s="4"/>
      <c r="UIC60" s="4"/>
      <c r="UIK60" s="4"/>
      <c r="UIS60" s="4"/>
      <c r="UJA60" s="4"/>
      <c r="UJI60" s="4"/>
      <c r="UJQ60" s="4"/>
      <c r="UJY60" s="4"/>
      <c r="UKG60" s="4"/>
      <c r="UKO60" s="4"/>
      <c r="UKW60" s="4"/>
      <c r="ULE60" s="4"/>
      <c r="ULM60" s="4"/>
      <c r="ULU60" s="4"/>
      <c r="UMC60" s="4"/>
      <c r="UMK60" s="4"/>
      <c r="UMS60" s="4"/>
      <c r="UNA60" s="4"/>
      <c r="UNI60" s="4"/>
      <c r="UNQ60" s="4"/>
      <c r="UNY60" s="4"/>
      <c r="UOG60" s="4"/>
      <c r="UOO60" s="4"/>
      <c r="UOW60" s="4"/>
      <c r="UPE60" s="4"/>
      <c r="UPM60" s="4"/>
      <c r="UPU60" s="4"/>
      <c r="UQC60" s="4"/>
      <c r="UQK60" s="4"/>
      <c r="UQS60" s="4"/>
      <c r="URA60" s="4"/>
      <c r="URI60" s="4"/>
      <c r="URQ60" s="4"/>
      <c r="URY60" s="4"/>
      <c r="USG60" s="4"/>
      <c r="USO60" s="4"/>
      <c r="USW60" s="4"/>
      <c r="UTE60" s="4"/>
      <c r="UTM60" s="4"/>
      <c r="UTU60" s="4"/>
      <c r="UUC60" s="4"/>
      <c r="UUK60" s="4"/>
      <c r="UUS60" s="4"/>
      <c r="UVA60" s="4"/>
      <c r="UVI60" s="4"/>
      <c r="UVQ60" s="4"/>
      <c r="UVY60" s="4"/>
      <c r="UWG60" s="4"/>
      <c r="UWO60" s="4"/>
      <c r="UWW60" s="4"/>
      <c r="UXE60" s="4"/>
      <c r="UXM60" s="4"/>
      <c r="UXU60" s="4"/>
      <c r="UYC60" s="4"/>
      <c r="UYK60" s="4"/>
      <c r="UYS60" s="4"/>
      <c r="UZA60" s="4"/>
      <c r="UZI60" s="4"/>
      <c r="UZQ60" s="4"/>
      <c r="UZY60" s="4"/>
      <c r="VAG60" s="4"/>
      <c r="VAO60" s="4"/>
      <c r="VAW60" s="4"/>
      <c r="VBE60" s="4"/>
      <c r="VBM60" s="4"/>
      <c r="VBU60" s="4"/>
      <c r="VCC60" s="4"/>
      <c r="VCK60" s="4"/>
      <c r="VCS60" s="4"/>
      <c r="VDA60" s="4"/>
      <c r="VDI60" s="4"/>
      <c r="VDQ60" s="4"/>
      <c r="VDY60" s="4"/>
      <c r="VEG60" s="4"/>
      <c r="VEO60" s="4"/>
      <c r="VEW60" s="4"/>
      <c r="VFE60" s="4"/>
      <c r="VFM60" s="4"/>
      <c r="VFU60" s="4"/>
      <c r="VGC60" s="4"/>
      <c r="VGK60" s="4"/>
      <c r="VGS60" s="4"/>
      <c r="VHA60" s="4"/>
      <c r="VHI60" s="4"/>
      <c r="VHQ60" s="4"/>
      <c r="VHY60" s="4"/>
      <c r="VIG60" s="4"/>
      <c r="VIO60" s="4"/>
      <c r="VIW60" s="4"/>
      <c r="VJE60" s="4"/>
      <c r="VJM60" s="4"/>
      <c r="VJU60" s="4"/>
      <c r="VKC60" s="4"/>
      <c r="VKK60" s="4"/>
      <c r="VKS60" s="4"/>
      <c r="VLA60" s="4"/>
      <c r="VLI60" s="4"/>
      <c r="VLQ60" s="4"/>
      <c r="VLY60" s="4"/>
      <c r="VMG60" s="4"/>
      <c r="VMO60" s="4"/>
      <c r="VMW60" s="4"/>
      <c r="VNE60" s="4"/>
      <c r="VNM60" s="4"/>
      <c r="VNU60" s="4"/>
      <c r="VOC60" s="4"/>
      <c r="VOK60" s="4"/>
      <c r="VOS60" s="4"/>
      <c r="VPA60" s="4"/>
      <c r="VPI60" s="4"/>
      <c r="VPQ60" s="4"/>
      <c r="VPY60" s="4"/>
      <c r="VQG60" s="4"/>
      <c r="VQO60" s="4"/>
      <c r="VQW60" s="4"/>
      <c r="VRE60" s="4"/>
      <c r="VRM60" s="4"/>
      <c r="VRU60" s="4"/>
      <c r="VSC60" s="4"/>
      <c r="VSK60" s="4"/>
      <c r="VSS60" s="4"/>
      <c r="VTA60" s="4"/>
      <c r="VTI60" s="4"/>
      <c r="VTQ60" s="4"/>
      <c r="VTY60" s="4"/>
      <c r="VUG60" s="4"/>
      <c r="VUO60" s="4"/>
      <c r="VUW60" s="4"/>
      <c r="VVE60" s="4"/>
      <c r="VVM60" s="4"/>
      <c r="VVU60" s="4"/>
      <c r="VWC60" s="4"/>
      <c r="VWK60" s="4"/>
      <c r="VWS60" s="4"/>
      <c r="VXA60" s="4"/>
      <c r="VXI60" s="4"/>
      <c r="VXQ60" s="4"/>
      <c r="VXY60" s="4"/>
      <c r="VYG60" s="4"/>
      <c r="VYO60" s="4"/>
      <c r="VYW60" s="4"/>
      <c r="VZE60" s="4"/>
      <c r="VZM60" s="4"/>
      <c r="VZU60" s="4"/>
      <c r="WAC60" s="4"/>
      <c r="WAK60" s="4"/>
      <c r="WAS60" s="4"/>
      <c r="WBA60" s="4"/>
      <c r="WBI60" s="4"/>
      <c r="WBQ60" s="4"/>
      <c r="WBY60" s="4"/>
      <c r="WCG60" s="4"/>
      <c r="WCO60" s="4"/>
      <c r="WCW60" s="4"/>
      <c r="WDE60" s="4"/>
      <c r="WDM60" s="4"/>
      <c r="WDU60" s="4"/>
      <c r="WEC60" s="4"/>
      <c r="WEK60" s="4"/>
      <c r="WES60" s="4"/>
      <c r="WFA60" s="4"/>
      <c r="WFI60" s="4"/>
      <c r="WFQ60" s="4"/>
      <c r="WFY60" s="4"/>
      <c r="WGG60" s="4"/>
      <c r="WGO60" s="4"/>
      <c r="WGW60" s="4"/>
      <c r="WHE60" s="4"/>
      <c r="WHM60" s="4"/>
      <c r="WHU60" s="4"/>
      <c r="WIC60" s="4"/>
      <c r="WIK60" s="4"/>
      <c r="WIS60" s="4"/>
      <c r="WJA60" s="4"/>
      <c r="WJI60" s="4"/>
      <c r="WJQ60" s="4"/>
      <c r="WJY60" s="4"/>
      <c r="WKG60" s="4"/>
      <c r="WKO60" s="4"/>
      <c r="WKW60" s="4"/>
      <c r="WLE60" s="4"/>
      <c r="WLM60" s="4"/>
      <c r="WLU60" s="4"/>
      <c r="WMC60" s="4"/>
      <c r="WMK60" s="4"/>
      <c r="WMS60" s="4"/>
      <c r="WNA60" s="4"/>
      <c r="WNI60" s="4"/>
      <c r="WNQ60" s="4"/>
      <c r="WNY60" s="4"/>
      <c r="WOG60" s="4"/>
      <c r="WOO60" s="4"/>
      <c r="WOW60" s="4"/>
      <c r="WPE60" s="4"/>
      <c r="WPM60" s="4"/>
      <c r="WPU60" s="4"/>
      <c r="WQC60" s="4"/>
      <c r="WQK60" s="4"/>
      <c r="WQS60" s="4"/>
      <c r="WRA60" s="4"/>
      <c r="WRI60" s="4"/>
      <c r="WRQ60" s="4"/>
      <c r="WRY60" s="4"/>
      <c r="WSG60" s="4"/>
      <c r="WSO60" s="4"/>
      <c r="WSW60" s="4"/>
      <c r="WTE60" s="4"/>
      <c r="WTM60" s="4"/>
      <c r="WTU60" s="4"/>
      <c r="WUC60" s="4"/>
      <c r="WUK60" s="4"/>
      <c r="WUS60" s="4"/>
      <c r="WVA60" s="4"/>
      <c r="WVI60" s="4"/>
      <c r="WVQ60" s="4"/>
      <c r="WVY60" s="4"/>
      <c r="WWG60" s="4"/>
      <c r="WWO60" s="4"/>
      <c r="WWW60" s="4"/>
      <c r="WXE60" s="4"/>
      <c r="WXM60" s="4"/>
      <c r="WXU60" s="4"/>
      <c r="WYC60" s="4"/>
      <c r="WYK60" s="4"/>
      <c r="WYS60" s="4"/>
      <c r="WZA60" s="4"/>
      <c r="WZI60" s="4"/>
      <c r="WZQ60" s="4"/>
      <c r="WZY60" s="4"/>
      <c r="XAG60" s="4"/>
      <c r="XAO60" s="4"/>
      <c r="XAW60" s="4"/>
      <c r="XBE60" s="4"/>
      <c r="XBM60" s="4"/>
      <c r="XBU60" s="4"/>
      <c r="XCC60" s="4"/>
      <c r="XCK60" s="4"/>
      <c r="XCS60" s="4"/>
      <c r="XDA60" s="4"/>
      <c r="XDI60" s="4"/>
      <c r="XDQ60" s="4"/>
      <c r="XDY60" s="4"/>
      <c r="XEG60" s="4"/>
      <c r="XEO60" s="4"/>
      <c r="XEW60" s="4"/>
    </row>
    <row r="61" spans="1:1017 1025:2041 2049:3065 3073:4089 4097:5113 5121:6137 6145:7161 7169:8185 8193:9209 9217:10233 10241:11257 11265:12281 12289:13305 13313:14329 14337:15353 15361:16377" ht="16.5" x14ac:dyDescent="0.45">
      <c r="A61" s="4"/>
      <c r="B61" s="4"/>
      <c r="F61" s="15" t="s">
        <v>101</v>
      </c>
      <c r="G61" s="14">
        <f>C60/C62</f>
        <v>1.3817375168115675</v>
      </c>
      <c r="H61" s="2"/>
      <c r="I61" s="2"/>
      <c r="Q61" s="4"/>
      <c r="Y61" s="4"/>
      <c r="AG61" s="4"/>
      <c r="AO61" s="4"/>
      <c r="AW61" s="4"/>
      <c r="BE61" s="4"/>
      <c r="BM61" s="4"/>
      <c r="BU61" s="4"/>
      <c r="CC61" s="4"/>
      <c r="CK61" s="4"/>
      <c r="CS61" s="4"/>
      <c r="DA61" s="4"/>
      <c r="DI61" s="4"/>
      <c r="DQ61" s="4"/>
      <c r="DY61" s="4"/>
      <c r="EG61" s="4"/>
      <c r="EO61" s="4"/>
      <c r="EW61" s="4"/>
      <c r="FE61" s="4"/>
      <c r="FM61" s="4"/>
      <c r="FU61" s="4"/>
      <c r="GC61" s="4"/>
      <c r="GK61" s="4"/>
      <c r="GS61" s="4"/>
      <c r="HA61" s="4"/>
      <c r="HI61" s="4"/>
      <c r="HQ61" s="4"/>
      <c r="HY61" s="4"/>
      <c r="IG61" s="4"/>
      <c r="IO61" s="4"/>
      <c r="IW61" s="4"/>
      <c r="JE61" s="4"/>
      <c r="JM61" s="4"/>
      <c r="JU61" s="4"/>
      <c r="KC61" s="4"/>
      <c r="KK61" s="4"/>
      <c r="KS61" s="4"/>
      <c r="LA61" s="4"/>
      <c r="LI61" s="4"/>
      <c r="LQ61" s="4"/>
      <c r="LY61" s="4"/>
      <c r="MG61" s="4"/>
      <c r="MO61" s="4"/>
      <c r="MW61" s="4"/>
      <c r="NE61" s="4"/>
      <c r="NM61" s="4"/>
      <c r="NU61" s="4"/>
      <c r="OC61" s="4"/>
      <c r="OK61" s="4"/>
      <c r="OS61" s="4"/>
      <c r="PA61" s="4"/>
      <c r="PI61" s="4"/>
      <c r="PQ61" s="4"/>
      <c r="PY61" s="4"/>
      <c r="QG61" s="4"/>
      <c r="QO61" s="4"/>
      <c r="QW61" s="4"/>
      <c r="RE61" s="4"/>
      <c r="RM61" s="4"/>
      <c r="RU61" s="4"/>
      <c r="SC61" s="4"/>
      <c r="SK61" s="4"/>
      <c r="SS61" s="4"/>
      <c r="TA61" s="4"/>
      <c r="TI61" s="4"/>
      <c r="TQ61" s="4"/>
      <c r="TY61" s="4"/>
      <c r="UG61" s="4"/>
      <c r="UO61" s="4"/>
      <c r="UW61" s="4"/>
      <c r="VE61" s="4"/>
      <c r="VM61" s="4"/>
      <c r="VU61" s="4"/>
      <c r="WC61" s="4"/>
      <c r="WK61" s="4"/>
      <c r="WS61" s="4"/>
      <c r="XA61" s="4"/>
      <c r="XI61" s="4"/>
      <c r="XQ61" s="4"/>
      <c r="XY61" s="4"/>
      <c r="YG61" s="4"/>
      <c r="YO61" s="4"/>
      <c r="YW61" s="4"/>
      <c r="ZE61" s="4"/>
      <c r="ZM61" s="4"/>
      <c r="ZU61" s="4"/>
      <c r="AAC61" s="4"/>
      <c r="AAK61" s="4"/>
      <c r="AAS61" s="4"/>
      <c r="ABA61" s="4"/>
      <c r="ABI61" s="4"/>
      <c r="ABQ61" s="4"/>
      <c r="ABY61" s="4"/>
      <c r="ACG61" s="4"/>
      <c r="ACO61" s="4"/>
      <c r="ACW61" s="4"/>
      <c r="ADE61" s="4"/>
      <c r="ADM61" s="4"/>
      <c r="ADU61" s="4"/>
      <c r="AEC61" s="4"/>
      <c r="AEK61" s="4"/>
      <c r="AES61" s="4"/>
      <c r="AFA61" s="4"/>
      <c r="AFI61" s="4"/>
      <c r="AFQ61" s="4"/>
      <c r="AFY61" s="4"/>
      <c r="AGG61" s="4"/>
      <c r="AGO61" s="4"/>
      <c r="AGW61" s="4"/>
      <c r="AHE61" s="4"/>
      <c r="AHM61" s="4"/>
      <c r="AHU61" s="4"/>
      <c r="AIC61" s="4"/>
      <c r="AIK61" s="4"/>
      <c r="AIS61" s="4"/>
      <c r="AJA61" s="4"/>
      <c r="AJI61" s="4"/>
      <c r="AJQ61" s="4"/>
      <c r="AJY61" s="4"/>
      <c r="AKG61" s="4"/>
      <c r="AKO61" s="4"/>
      <c r="AKW61" s="4"/>
      <c r="ALE61" s="4"/>
      <c r="ALM61" s="4"/>
      <c r="ALU61" s="4"/>
      <c r="AMC61" s="4"/>
      <c r="AMK61" s="4"/>
      <c r="AMS61" s="4"/>
      <c r="ANA61" s="4"/>
      <c r="ANI61" s="4"/>
      <c r="ANQ61" s="4"/>
      <c r="ANY61" s="4"/>
      <c r="AOG61" s="4"/>
      <c r="AOO61" s="4"/>
      <c r="AOW61" s="4"/>
      <c r="APE61" s="4"/>
      <c r="APM61" s="4"/>
      <c r="APU61" s="4"/>
      <c r="AQC61" s="4"/>
      <c r="AQK61" s="4"/>
      <c r="AQS61" s="4"/>
      <c r="ARA61" s="4"/>
      <c r="ARI61" s="4"/>
      <c r="ARQ61" s="4"/>
      <c r="ARY61" s="4"/>
      <c r="ASG61" s="4"/>
      <c r="ASO61" s="4"/>
      <c r="ASW61" s="4"/>
      <c r="ATE61" s="4"/>
      <c r="ATM61" s="4"/>
      <c r="ATU61" s="4"/>
      <c r="AUC61" s="4"/>
      <c r="AUK61" s="4"/>
      <c r="AUS61" s="4"/>
      <c r="AVA61" s="4"/>
      <c r="AVI61" s="4"/>
      <c r="AVQ61" s="4"/>
      <c r="AVY61" s="4"/>
      <c r="AWG61" s="4"/>
      <c r="AWO61" s="4"/>
      <c r="AWW61" s="4"/>
      <c r="AXE61" s="4"/>
      <c r="AXM61" s="4"/>
      <c r="AXU61" s="4"/>
      <c r="AYC61" s="4"/>
      <c r="AYK61" s="4"/>
      <c r="AYS61" s="4"/>
      <c r="AZA61" s="4"/>
      <c r="AZI61" s="4"/>
      <c r="AZQ61" s="4"/>
      <c r="AZY61" s="4"/>
      <c r="BAG61" s="4"/>
      <c r="BAO61" s="4"/>
      <c r="BAW61" s="4"/>
      <c r="BBE61" s="4"/>
      <c r="BBM61" s="4"/>
      <c r="BBU61" s="4"/>
      <c r="BCC61" s="4"/>
      <c r="BCK61" s="4"/>
      <c r="BCS61" s="4"/>
      <c r="BDA61" s="4"/>
      <c r="BDI61" s="4"/>
      <c r="BDQ61" s="4"/>
      <c r="BDY61" s="4"/>
      <c r="BEG61" s="4"/>
      <c r="BEO61" s="4"/>
      <c r="BEW61" s="4"/>
      <c r="BFE61" s="4"/>
      <c r="BFM61" s="4"/>
      <c r="BFU61" s="4"/>
      <c r="BGC61" s="4"/>
      <c r="BGK61" s="4"/>
      <c r="BGS61" s="4"/>
      <c r="BHA61" s="4"/>
      <c r="BHI61" s="4"/>
      <c r="BHQ61" s="4"/>
      <c r="BHY61" s="4"/>
      <c r="BIG61" s="4"/>
      <c r="BIO61" s="4"/>
      <c r="BIW61" s="4"/>
      <c r="BJE61" s="4"/>
      <c r="BJM61" s="4"/>
      <c r="BJU61" s="4"/>
      <c r="BKC61" s="4"/>
      <c r="BKK61" s="4"/>
      <c r="BKS61" s="4"/>
      <c r="BLA61" s="4"/>
      <c r="BLI61" s="4"/>
      <c r="BLQ61" s="4"/>
      <c r="BLY61" s="4"/>
      <c r="BMG61" s="4"/>
      <c r="BMO61" s="4"/>
      <c r="BMW61" s="4"/>
      <c r="BNE61" s="4"/>
      <c r="BNM61" s="4"/>
      <c r="BNU61" s="4"/>
      <c r="BOC61" s="4"/>
      <c r="BOK61" s="4"/>
      <c r="BOS61" s="4"/>
      <c r="BPA61" s="4"/>
      <c r="BPI61" s="4"/>
      <c r="BPQ61" s="4"/>
      <c r="BPY61" s="4"/>
      <c r="BQG61" s="4"/>
      <c r="BQO61" s="4"/>
      <c r="BQW61" s="4"/>
      <c r="BRE61" s="4"/>
      <c r="BRM61" s="4"/>
      <c r="BRU61" s="4"/>
      <c r="BSC61" s="4"/>
      <c r="BSK61" s="4"/>
      <c r="BSS61" s="4"/>
      <c r="BTA61" s="4"/>
      <c r="BTI61" s="4"/>
      <c r="BTQ61" s="4"/>
      <c r="BTY61" s="4"/>
      <c r="BUG61" s="4"/>
      <c r="BUO61" s="4"/>
      <c r="BUW61" s="4"/>
      <c r="BVE61" s="4"/>
      <c r="BVM61" s="4"/>
      <c r="BVU61" s="4"/>
      <c r="BWC61" s="4"/>
      <c r="BWK61" s="4"/>
      <c r="BWS61" s="4"/>
      <c r="BXA61" s="4"/>
      <c r="BXI61" s="4"/>
      <c r="BXQ61" s="4"/>
      <c r="BXY61" s="4"/>
      <c r="BYG61" s="4"/>
      <c r="BYO61" s="4"/>
      <c r="BYW61" s="4"/>
      <c r="BZE61" s="4"/>
      <c r="BZM61" s="4"/>
      <c r="BZU61" s="4"/>
      <c r="CAC61" s="4"/>
      <c r="CAK61" s="4"/>
      <c r="CAS61" s="4"/>
      <c r="CBA61" s="4"/>
      <c r="CBI61" s="4"/>
      <c r="CBQ61" s="4"/>
      <c r="CBY61" s="4"/>
      <c r="CCG61" s="4"/>
      <c r="CCO61" s="4"/>
      <c r="CCW61" s="4"/>
      <c r="CDE61" s="4"/>
      <c r="CDM61" s="4"/>
      <c r="CDU61" s="4"/>
      <c r="CEC61" s="4"/>
      <c r="CEK61" s="4"/>
      <c r="CES61" s="4"/>
      <c r="CFA61" s="4"/>
      <c r="CFI61" s="4"/>
      <c r="CFQ61" s="4"/>
      <c r="CFY61" s="4"/>
      <c r="CGG61" s="4"/>
      <c r="CGO61" s="4"/>
      <c r="CGW61" s="4"/>
      <c r="CHE61" s="4"/>
      <c r="CHM61" s="4"/>
      <c r="CHU61" s="4"/>
      <c r="CIC61" s="4"/>
      <c r="CIK61" s="4"/>
      <c r="CIS61" s="4"/>
      <c r="CJA61" s="4"/>
      <c r="CJI61" s="4"/>
      <c r="CJQ61" s="4"/>
      <c r="CJY61" s="4"/>
      <c r="CKG61" s="4"/>
      <c r="CKO61" s="4"/>
      <c r="CKW61" s="4"/>
      <c r="CLE61" s="4"/>
      <c r="CLM61" s="4"/>
      <c r="CLU61" s="4"/>
      <c r="CMC61" s="4"/>
      <c r="CMK61" s="4"/>
      <c r="CMS61" s="4"/>
      <c r="CNA61" s="4"/>
      <c r="CNI61" s="4"/>
      <c r="CNQ61" s="4"/>
      <c r="CNY61" s="4"/>
      <c r="COG61" s="4"/>
      <c r="COO61" s="4"/>
      <c r="COW61" s="4"/>
      <c r="CPE61" s="4"/>
      <c r="CPM61" s="4"/>
      <c r="CPU61" s="4"/>
      <c r="CQC61" s="4"/>
      <c r="CQK61" s="4"/>
      <c r="CQS61" s="4"/>
      <c r="CRA61" s="4"/>
      <c r="CRI61" s="4"/>
      <c r="CRQ61" s="4"/>
      <c r="CRY61" s="4"/>
      <c r="CSG61" s="4"/>
      <c r="CSO61" s="4"/>
      <c r="CSW61" s="4"/>
      <c r="CTE61" s="4"/>
      <c r="CTM61" s="4"/>
      <c r="CTU61" s="4"/>
      <c r="CUC61" s="4"/>
      <c r="CUK61" s="4"/>
      <c r="CUS61" s="4"/>
      <c r="CVA61" s="4"/>
      <c r="CVI61" s="4"/>
      <c r="CVQ61" s="4"/>
      <c r="CVY61" s="4"/>
      <c r="CWG61" s="4"/>
      <c r="CWO61" s="4"/>
      <c r="CWW61" s="4"/>
      <c r="CXE61" s="4"/>
      <c r="CXM61" s="4"/>
      <c r="CXU61" s="4"/>
      <c r="CYC61" s="4"/>
      <c r="CYK61" s="4"/>
      <c r="CYS61" s="4"/>
      <c r="CZA61" s="4"/>
      <c r="CZI61" s="4"/>
      <c r="CZQ61" s="4"/>
      <c r="CZY61" s="4"/>
      <c r="DAG61" s="4"/>
      <c r="DAO61" s="4"/>
      <c r="DAW61" s="4"/>
      <c r="DBE61" s="4"/>
      <c r="DBM61" s="4"/>
      <c r="DBU61" s="4"/>
      <c r="DCC61" s="4"/>
      <c r="DCK61" s="4"/>
      <c r="DCS61" s="4"/>
      <c r="DDA61" s="4"/>
      <c r="DDI61" s="4"/>
      <c r="DDQ61" s="4"/>
      <c r="DDY61" s="4"/>
      <c r="DEG61" s="4"/>
      <c r="DEO61" s="4"/>
      <c r="DEW61" s="4"/>
      <c r="DFE61" s="4"/>
      <c r="DFM61" s="4"/>
      <c r="DFU61" s="4"/>
      <c r="DGC61" s="4"/>
      <c r="DGK61" s="4"/>
      <c r="DGS61" s="4"/>
      <c r="DHA61" s="4"/>
      <c r="DHI61" s="4"/>
      <c r="DHQ61" s="4"/>
      <c r="DHY61" s="4"/>
      <c r="DIG61" s="4"/>
      <c r="DIO61" s="4"/>
      <c r="DIW61" s="4"/>
      <c r="DJE61" s="4"/>
      <c r="DJM61" s="4"/>
      <c r="DJU61" s="4"/>
      <c r="DKC61" s="4"/>
      <c r="DKK61" s="4"/>
      <c r="DKS61" s="4"/>
      <c r="DLA61" s="4"/>
      <c r="DLI61" s="4"/>
      <c r="DLQ61" s="4"/>
      <c r="DLY61" s="4"/>
      <c r="DMG61" s="4"/>
      <c r="DMO61" s="4"/>
      <c r="DMW61" s="4"/>
      <c r="DNE61" s="4"/>
      <c r="DNM61" s="4"/>
      <c r="DNU61" s="4"/>
      <c r="DOC61" s="4"/>
      <c r="DOK61" s="4"/>
      <c r="DOS61" s="4"/>
      <c r="DPA61" s="4"/>
      <c r="DPI61" s="4"/>
      <c r="DPQ61" s="4"/>
      <c r="DPY61" s="4"/>
      <c r="DQG61" s="4"/>
      <c r="DQO61" s="4"/>
      <c r="DQW61" s="4"/>
      <c r="DRE61" s="4"/>
      <c r="DRM61" s="4"/>
      <c r="DRU61" s="4"/>
      <c r="DSC61" s="4"/>
      <c r="DSK61" s="4"/>
      <c r="DSS61" s="4"/>
      <c r="DTA61" s="4"/>
      <c r="DTI61" s="4"/>
      <c r="DTQ61" s="4"/>
      <c r="DTY61" s="4"/>
      <c r="DUG61" s="4"/>
      <c r="DUO61" s="4"/>
      <c r="DUW61" s="4"/>
      <c r="DVE61" s="4"/>
      <c r="DVM61" s="4"/>
      <c r="DVU61" s="4"/>
      <c r="DWC61" s="4"/>
      <c r="DWK61" s="4"/>
      <c r="DWS61" s="4"/>
      <c r="DXA61" s="4"/>
      <c r="DXI61" s="4"/>
      <c r="DXQ61" s="4"/>
      <c r="DXY61" s="4"/>
      <c r="DYG61" s="4"/>
      <c r="DYO61" s="4"/>
      <c r="DYW61" s="4"/>
      <c r="DZE61" s="4"/>
      <c r="DZM61" s="4"/>
      <c r="DZU61" s="4"/>
      <c r="EAC61" s="4"/>
      <c r="EAK61" s="4"/>
      <c r="EAS61" s="4"/>
      <c r="EBA61" s="4"/>
      <c r="EBI61" s="4"/>
      <c r="EBQ61" s="4"/>
      <c r="EBY61" s="4"/>
      <c r="ECG61" s="4"/>
      <c r="ECO61" s="4"/>
      <c r="ECW61" s="4"/>
      <c r="EDE61" s="4"/>
      <c r="EDM61" s="4"/>
      <c r="EDU61" s="4"/>
      <c r="EEC61" s="4"/>
      <c r="EEK61" s="4"/>
      <c r="EES61" s="4"/>
      <c r="EFA61" s="4"/>
      <c r="EFI61" s="4"/>
      <c r="EFQ61" s="4"/>
      <c r="EFY61" s="4"/>
      <c r="EGG61" s="4"/>
      <c r="EGO61" s="4"/>
      <c r="EGW61" s="4"/>
      <c r="EHE61" s="4"/>
      <c r="EHM61" s="4"/>
      <c r="EHU61" s="4"/>
      <c r="EIC61" s="4"/>
      <c r="EIK61" s="4"/>
      <c r="EIS61" s="4"/>
      <c r="EJA61" s="4"/>
      <c r="EJI61" s="4"/>
      <c r="EJQ61" s="4"/>
      <c r="EJY61" s="4"/>
      <c r="EKG61" s="4"/>
      <c r="EKO61" s="4"/>
      <c r="EKW61" s="4"/>
      <c r="ELE61" s="4"/>
      <c r="ELM61" s="4"/>
      <c r="ELU61" s="4"/>
      <c r="EMC61" s="4"/>
      <c r="EMK61" s="4"/>
      <c r="EMS61" s="4"/>
      <c r="ENA61" s="4"/>
      <c r="ENI61" s="4"/>
      <c r="ENQ61" s="4"/>
      <c r="ENY61" s="4"/>
      <c r="EOG61" s="4"/>
      <c r="EOO61" s="4"/>
      <c r="EOW61" s="4"/>
      <c r="EPE61" s="4"/>
      <c r="EPM61" s="4"/>
      <c r="EPU61" s="4"/>
      <c r="EQC61" s="4"/>
      <c r="EQK61" s="4"/>
      <c r="EQS61" s="4"/>
      <c r="ERA61" s="4"/>
      <c r="ERI61" s="4"/>
      <c r="ERQ61" s="4"/>
      <c r="ERY61" s="4"/>
      <c r="ESG61" s="4"/>
      <c r="ESO61" s="4"/>
      <c r="ESW61" s="4"/>
      <c r="ETE61" s="4"/>
      <c r="ETM61" s="4"/>
      <c r="ETU61" s="4"/>
      <c r="EUC61" s="4"/>
      <c r="EUK61" s="4"/>
      <c r="EUS61" s="4"/>
      <c r="EVA61" s="4"/>
      <c r="EVI61" s="4"/>
      <c r="EVQ61" s="4"/>
      <c r="EVY61" s="4"/>
      <c r="EWG61" s="4"/>
      <c r="EWO61" s="4"/>
      <c r="EWW61" s="4"/>
      <c r="EXE61" s="4"/>
      <c r="EXM61" s="4"/>
      <c r="EXU61" s="4"/>
      <c r="EYC61" s="4"/>
      <c r="EYK61" s="4"/>
      <c r="EYS61" s="4"/>
      <c r="EZA61" s="4"/>
      <c r="EZI61" s="4"/>
      <c r="EZQ61" s="4"/>
      <c r="EZY61" s="4"/>
      <c r="FAG61" s="4"/>
      <c r="FAO61" s="4"/>
      <c r="FAW61" s="4"/>
      <c r="FBE61" s="4"/>
      <c r="FBM61" s="4"/>
      <c r="FBU61" s="4"/>
      <c r="FCC61" s="4"/>
      <c r="FCK61" s="4"/>
      <c r="FCS61" s="4"/>
      <c r="FDA61" s="4"/>
      <c r="FDI61" s="4"/>
      <c r="FDQ61" s="4"/>
      <c r="FDY61" s="4"/>
      <c r="FEG61" s="4"/>
      <c r="FEO61" s="4"/>
      <c r="FEW61" s="4"/>
      <c r="FFE61" s="4"/>
      <c r="FFM61" s="4"/>
      <c r="FFU61" s="4"/>
      <c r="FGC61" s="4"/>
      <c r="FGK61" s="4"/>
      <c r="FGS61" s="4"/>
      <c r="FHA61" s="4"/>
      <c r="FHI61" s="4"/>
      <c r="FHQ61" s="4"/>
      <c r="FHY61" s="4"/>
      <c r="FIG61" s="4"/>
      <c r="FIO61" s="4"/>
      <c r="FIW61" s="4"/>
      <c r="FJE61" s="4"/>
      <c r="FJM61" s="4"/>
      <c r="FJU61" s="4"/>
      <c r="FKC61" s="4"/>
      <c r="FKK61" s="4"/>
      <c r="FKS61" s="4"/>
      <c r="FLA61" s="4"/>
      <c r="FLI61" s="4"/>
      <c r="FLQ61" s="4"/>
      <c r="FLY61" s="4"/>
      <c r="FMG61" s="4"/>
      <c r="FMO61" s="4"/>
      <c r="FMW61" s="4"/>
      <c r="FNE61" s="4"/>
      <c r="FNM61" s="4"/>
      <c r="FNU61" s="4"/>
      <c r="FOC61" s="4"/>
      <c r="FOK61" s="4"/>
      <c r="FOS61" s="4"/>
      <c r="FPA61" s="4"/>
      <c r="FPI61" s="4"/>
      <c r="FPQ61" s="4"/>
      <c r="FPY61" s="4"/>
      <c r="FQG61" s="4"/>
      <c r="FQO61" s="4"/>
      <c r="FQW61" s="4"/>
      <c r="FRE61" s="4"/>
      <c r="FRM61" s="4"/>
      <c r="FRU61" s="4"/>
      <c r="FSC61" s="4"/>
      <c r="FSK61" s="4"/>
      <c r="FSS61" s="4"/>
      <c r="FTA61" s="4"/>
      <c r="FTI61" s="4"/>
      <c r="FTQ61" s="4"/>
      <c r="FTY61" s="4"/>
      <c r="FUG61" s="4"/>
      <c r="FUO61" s="4"/>
      <c r="FUW61" s="4"/>
      <c r="FVE61" s="4"/>
      <c r="FVM61" s="4"/>
      <c r="FVU61" s="4"/>
      <c r="FWC61" s="4"/>
      <c r="FWK61" s="4"/>
      <c r="FWS61" s="4"/>
      <c r="FXA61" s="4"/>
      <c r="FXI61" s="4"/>
      <c r="FXQ61" s="4"/>
      <c r="FXY61" s="4"/>
      <c r="FYG61" s="4"/>
      <c r="FYO61" s="4"/>
      <c r="FYW61" s="4"/>
      <c r="FZE61" s="4"/>
      <c r="FZM61" s="4"/>
      <c r="FZU61" s="4"/>
      <c r="GAC61" s="4"/>
      <c r="GAK61" s="4"/>
      <c r="GAS61" s="4"/>
      <c r="GBA61" s="4"/>
      <c r="GBI61" s="4"/>
      <c r="GBQ61" s="4"/>
      <c r="GBY61" s="4"/>
      <c r="GCG61" s="4"/>
      <c r="GCO61" s="4"/>
      <c r="GCW61" s="4"/>
      <c r="GDE61" s="4"/>
      <c r="GDM61" s="4"/>
      <c r="GDU61" s="4"/>
      <c r="GEC61" s="4"/>
      <c r="GEK61" s="4"/>
      <c r="GES61" s="4"/>
      <c r="GFA61" s="4"/>
      <c r="GFI61" s="4"/>
      <c r="GFQ61" s="4"/>
      <c r="GFY61" s="4"/>
      <c r="GGG61" s="4"/>
      <c r="GGO61" s="4"/>
      <c r="GGW61" s="4"/>
      <c r="GHE61" s="4"/>
      <c r="GHM61" s="4"/>
      <c r="GHU61" s="4"/>
      <c r="GIC61" s="4"/>
      <c r="GIK61" s="4"/>
      <c r="GIS61" s="4"/>
      <c r="GJA61" s="4"/>
      <c r="GJI61" s="4"/>
      <c r="GJQ61" s="4"/>
      <c r="GJY61" s="4"/>
      <c r="GKG61" s="4"/>
      <c r="GKO61" s="4"/>
      <c r="GKW61" s="4"/>
      <c r="GLE61" s="4"/>
      <c r="GLM61" s="4"/>
      <c r="GLU61" s="4"/>
      <c r="GMC61" s="4"/>
      <c r="GMK61" s="4"/>
      <c r="GMS61" s="4"/>
      <c r="GNA61" s="4"/>
      <c r="GNI61" s="4"/>
      <c r="GNQ61" s="4"/>
      <c r="GNY61" s="4"/>
      <c r="GOG61" s="4"/>
      <c r="GOO61" s="4"/>
      <c r="GOW61" s="4"/>
      <c r="GPE61" s="4"/>
      <c r="GPM61" s="4"/>
      <c r="GPU61" s="4"/>
      <c r="GQC61" s="4"/>
      <c r="GQK61" s="4"/>
      <c r="GQS61" s="4"/>
      <c r="GRA61" s="4"/>
      <c r="GRI61" s="4"/>
      <c r="GRQ61" s="4"/>
      <c r="GRY61" s="4"/>
      <c r="GSG61" s="4"/>
      <c r="GSO61" s="4"/>
      <c r="GSW61" s="4"/>
      <c r="GTE61" s="4"/>
      <c r="GTM61" s="4"/>
      <c r="GTU61" s="4"/>
      <c r="GUC61" s="4"/>
      <c r="GUK61" s="4"/>
      <c r="GUS61" s="4"/>
      <c r="GVA61" s="4"/>
      <c r="GVI61" s="4"/>
      <c r="GVQ61" s="4"/>
      <c r="GVY61" s="4"/>
      <c r="GWG61" s="4"/>
      <c r="GWO61" s="4"/>
      <c r="GWW61" s="4"/>
      <c r="GXE61" s="4"/>
      <c r="GXM61" s="4"/>
      <c r="GXU61" s="4"/>
      <c r="GYC61" s="4"/>
      <c r="GYK61" s="4"/>
      <c r="GYS61" s="4"/>
      <c r="GZA61" s="4"/>
      <c r="GZI61" s="4"/>
      <c r="GZQ61" s="4"/>
      <c r="GZY61" s="4"/>
      <c r="HAG61" s="4"/>
      <c r="HAO61" s="4"/>
      <c r="HAW61" s="4"/>
      <c r="HBE61" s="4"/>
      <c r="HBM61" s="4"/>
      <c r="HBU61" s="4"/>
      <c r="HCC61" s="4"/>
      <c r="HCK61" s="4"/>
      <c r="HCS61" s="4"/>
      <c r="HDA61" s="4"/>
      <c r="HDI61" s="4"/>
      <c r="HDQ61" s="4"/>
      <c r="HDY61" s="4"/>
      <c r="HEG61" s="4"/>
      <c r="HEO61" s="4"/>
      <c r="HEW61" s="4"/>
      <c r="HFE61" s="4"/>
      <c r="HFM61" s="4"/>
      <c r="HFU61" s="4"/>
      <c r="HGC61" s="4"/>
      <c r="HGK61" s="4"/>
      <c r="HGS61" s="4"/>
      <c r="HHA61" s="4"/>
      <c r="HHI61" s="4"/>
      <c r="HHQ61" s="4"/>
      <c r="HHY61" s="4"/>
      <c r="HIG61" s="4"/>
      <c r="HIO61" s="4"/>
      <c r="HIW61" s="4"/>
      <c r="HJE61" s="4"/>
      <c r="HJM61" s="4"/>
      <c r="HJU61" s="4"/>
      <c r="HKC61" s="4"/>
      <c r="HKK61" s="4"/>
      <c r="HKS61" s="4"/>
      <c r="HLA61" s="4"/>
      <c r="HLI61" s="4"/>
      <c r="HLQ61" s="4"/>
      <c r="HLY61" s="4"/>
      <c r="HMG61" s="4"/>
      <c r="HMO61" s="4"/>
      <c r="HMW61" s="4"/>
      <c r="HNE61" s="4"/>
      <c r="HNM61" s="4"/>
      <c r="HNU61" s="4"/>
      <c r="HOC61" s="4"/>
      <c r="HOK61" s="4"/>
      <c r="HOS61" s="4"/>
      <c r="HPA61" s="4"/>
      <c r="HPI61" s="4"/>
      <c r="HPQ61" s="4"/>
      <c r="HPY61" s="4"/>
      <c r="HQG61" s="4"/>
      <c r="HQO61" s="4"/>
      <c r="HQW61" s="4"/>
      <c r="HRE61" s="4"/>
      <c r="HRM61" s="4"/>
      <c r="HRU61" s="4"/>
      <c r="HSC61" s="4"/>
      <c r="HSK61" s="4"/>
      <c r="HSS61" s="4"/>
      <c r="HTA61" s="4"/>
      <c r="HTI61" s="4"/>
      <c r="HTQ61" s="4"/>
      <c r="HTY61" s="4"/>
      <c r="HUG61" s="4"/>
      <c r="HUO61" s="4"/>
      <c r="HUW61" s="4"/>
      <c r="HVE61" s="4"/>
      <c r="HVM61" s="4"/>
      <c r="HVU61" s="4"/>
      <c r="HWC61" s="4"/>
      <c r="HWK61" s="4"/>
      <c r="HWS61" s="4"/>
      <c r="HXA61" s="4"/>
      <c r="HXI61" s="4"/>
      <c r="HXQ61" s="4"/>
      <c r="HXY61" s="4"/>
      <c r="HYG61" s="4"/>
      <c r="HYO61" s="4"/>
      <c r="HYW61" s="4"/>
      <c r="HZE61" s="4"/>
      <c r="HZM61" s="4"/>
      <c r="HZU61" s="4"/>
      <c r="IAC61" s="4"/>
      <c r="IAK61" s="4"/>
      <c r="IAS61" s="4"/>
      <c r="IBA61" s="4"/>
      <c r="IBI61" s="4"/>
      <c r="IBQ61" s="4"/>
      <c r="IBY61" s="4"/>
      <c r="ICG61" s="4"/>
      <c r="ICO61" s="4"/>
      <c r="ICW61" s="4"/>
      <c r="IDE61" s="4"/>
      <c r="IDM61" s="4"/>
      <c r="IDU61" s="4"/>
      <c r="IEC61" s="4"/>
      <c r="IEK61" s="4"/>
      <c r="IES61" s="4"/>
      <c r="IFA61" s="4"/>
      <c r="IFI61" s="4"/>
      <c r="IFQ61" s="4"/>
      <c r="IFY61" s="4"/>
      <c r="IGG61" s="4"/>
      <c r="IGO61" s="4"/>
      <c r="IGW61" s="4"/>
      <c r="IHE61" s="4"/>
      <c r="IHM61" s="4"/>
      <c r="IHU61" s="4"/>
      <c r="IIC61" s="4"/>
      <c r="IIK61" s="4"/>
      <c r="IIS61" s="4"/>
      <c r="IJA61" s="4"/>
      <c r="IJI61" s="4"/>
      <c r="IJQ61" s="4"/>
      <c r="IJY61" s="4"/>
      <c r="IKG61" s="4"/>
      <c r="IKO61" s="4"/>
      <c r="IKW61" s="4"/>
      <c r="ILE61" s="4"/>
      <c r="ILM61" s="4"/>
      <c r="ILU61" s="4"/>
      <c r="IMC61" s="4"/>
      <c r="IMK61" s="4"/>
      <c r="IMS61" s="4"/>
      <c r="INA61" s="4"/>
      <c r="INI61" s="4"/>
      <c r="INQ61" s="4"/>
      <c r="INY61" s="4"/>
      <c r="IOG61" s="4"/>
      <c r="IOO61" s="4"/>
      <c r="IOW61" s="4"/>
      <c r="IPE61" s="4"/>
      <c r="IPM61" s="4"/>
      <c r="IPU61" s="4"/>
      <c r="IQC61" s="4"/>
      <c r="IQK61" s="4"/>
      <c r="IQS61" s="4"/>
      <c r="IRA61" s="4"/>
      <c r="IRI61" s="4"/>
      <c r="IRQ61" s="4"/>
      <c r="IRY61" s="4"/>
      <c r="ISG61" s="4"/>
      <c r="ISO61" s="4"/>
      <c r="ISW61" s="4"/>
      <c r="ITE61" s="4"/>
      <c r="ITM61" s="4"/>
      <c r="ITU61" s="4"/>
      <c r="IUC61" s="4"/>
      <c r="IUK61" s="4"/>
      <c r="IUS61" s="4"/>
      <c r="IVA61" s="4"/>
      <c r="IVI61" s="4"/>
      <c r="IVQ61" s="4"/>
      <c r="IVY61" s="4"/>
      <c r="IWG61" s="4"/>
      <c r="IWO61" s="4"/>
      <c r="IWW61" s="4"/>
      <c r="IXE61" s="4"/>
      <c r="IXM61" s="4"/>
      <c r="IXU61" s="4"/>
      <c r="IYC61" s="4"/>
      <c r="IYK61" s="4"/>
      <c r="IYS61" s="4"/>
      <c r="IZA61" s="4"/>
      <c r="IZI61" s="4"/>
      <c r="IZQ61" s="4"/>
      <c r="IZY61" s="4"/>
      <c r="JAG61" s="4"/>
      <c r="JAO61" s="4"/>
      <c r="JAW61" s="4"/>
      <c r="JBE61" s="4"/>
      <c r="JBM61" s="4"/>
      <c r="JBU61" s="4"/>
      <c r="JCC61" s="4"/>
      <c r="JCK61" s="4"/>
      <c r="JCS61" s="4"/>
      <c r="JDA61" s="4"/>
      <c r="JDI61" s="4"/>
      <c r="JDQ61" s="4"/>
      <c r="JDY61" s="4"/>
      <c r="JEG61" s="4"/>
      <c r="JEO61" s="4"/>
      <c r="JEW61" s="4"/>
      <c r="JFE61" s="4"/>
      <c r="JFM61" s="4"/>
      <c r="JFU61" s="4"/>
      <c r="JGC61" s="4"/>
      <c r="JGK61" s="4"/>
      <c r="JGS61" s="4"/>
      <c r="JHA61" s="4"/>
      <c r="JHI61" s="4"/>
      <c r="JHQ61" s="4"/>
      <c r="JHY61" s="4"/>
      <c r="JIG61" s="4"/>
      <c r="JIO61" s="4"/>
      <c r="JIW61" s="4"/>
      <c r="JJE61" s="4"/>
      <c r="JJM61" s="4"/>
      <c r="JJU61" s="4"/>
      <c r="JKC61" s="4"/>
      <c r="JKK61" s="4"/>
      <c r="JKS61" s="4"/>
      <c r="JLA61" s="4"/>
      <c r="JLI61" s="4"/>
      <c r="JLQ61" s="4"/>
      <c r="JLY61" s="4"/>
      <c r="JMG61" s="4"/>
      <c r="JMO61" s="4"/>
      <c r="JMW61" s="4"/>
      <c r="JNE61" s="4"/>
      <c r="JNM61" s="4"/>
      <c r="JNU61" s="4"/>
      <c r="JOC61" s="4"/>
      <c r="JOK61" s="4"/>
      <c r="JOS61" s="4"/>
      <c r="JPA61" s="4"/>
      <c r="JPI61" s="4"/>
      <c r="JPQ61" s="4"/>
      <c r="JPY61" s="4"/>
      <c r="JQG61" s="4"/>
      <c r="JQO61" s="4"/>
      <c r="JQW61" s="4"/>
      <c r="JRE61" s="4"/>
      <c r="JRM61" s="4"/>
      <c r="JRU61" s="4"/>
      <c r="JSC61" s="4"/>
      <c r="JSK61" s="4"/>
      <c r="JSS61" s="4"/>
      <c r="JTA61" s="4"/>
      <c r="JTI61" s="4"/>
      <c r="JTQ61" s="4"/>
      <c r="JTY61" s="4"/>
      <c r="JUG61" s="4"/>
      <c r="JUO61" s="4"/>
      <c r="JUW61" s="4"/>
      <c r="JVE61" s="4"/>
      <c r="JVM61" s="4"/>
      <c r="JVU61" s="4"/>
      <c r="JWC61" s="4"/>
      <c r="JWK61" s="4"/>
      <c r="JWS61" s="4"/>
      <c r="JXA61" s="4"/>
      <c r="JXI61" s="4"/>
      <c r="JXQ61" s="4"/>
      <c r="JXY61" s="4"/>
      <c r="JYG61" s="4"/>
      <c r="JYO61" s="4"/>
      <c r="JYW61" s="4"/>
      <c r="JZE61" s="4"/>
      <c r="JZM61" s="4"/>
      <c r="JZU61" s="4"/>
      <c r="KAC61" s="4"/>
      <c r="KAK61" s="4"/>
      <c r="KAS61" s="4"/>
      <c r="KBA61" s="4"/>
      <c r="KBI61" s="4"/>
      <c r="KBQ61" s="4"/>
      <c r="KBY61" s="4"/>
      <c r="KCG61" s="4"/>
      <c r="KCO61" s="4"/>
      <c r="KCW61" s="4"/>
      <c r="KDE61" s="4"/>
      <c r="KDM61" s="4"/>
      <c r="KDU61" s="4"/>
      <c r="KEC61" s="4"/>
      <c r="KEK61" s="4"/>
      <c r="KES61" s="4"/>
      <c r="KFA61" s="4"/>
      <c r="KFI61" s="4"/>
      <c r="KFQ61" s="4"/>
      <c r="KFY61" s="4"/>
      <c r="KGG61" s="4"/>
      <c r="KGO61" s="4"/>
      <c r="KGW61" s="4"/>
      <c r="KHE61" s="4"/>
      <c r="KHM61" s="4"/>
      <c r="KHU61" s="4"/>
      <c r="KIC61" s="4"/>
      <c r="KIK61" s="4"/>
      <c r="KIS61" s="4"/>
      <c r="KJA61" s="4"/>
      <c r="KJI61" s="4"/>
      <c r="KJQ61" s="4"/>
      <c r="KJY61" s="4"/>
      <c r="KKG61" s="4"/>
      <c r="KKO61" s="4"/>
      <c r="KKW61" s="4"/>
      <c r="KLE61" s="4"/>
      <c r="KLM61" s="4"/>
      <c r="KLU61" s="4"/>
      <c r="KMC61" s="4"/>
      <c r="KMK61" s="4"/>
      <c r="KMS61" s="4"/>
      <c r="KNA61" s="4"/>
      <c r="KNI61" s="4"/>
      <c r="KNQ61" s="4"/>
      <c r="KNY61" s="4"/>
      <c r="KOG61" s="4"/>
      <c r="KOO61" s="4"/>
      <c r="KOW61" s="4"/>
      <c r="KPE61" s="4"/>
      <c r="KPM61" s="4"/>
      <c r="KPU61" s="4"/>
      <c r="KQC61" s="4"/>
      <c r="KQK61" s="4"/>
      <c r="KQS61" s="4"/>
      <c r="KRA61" s="4"/>
      <c r="KRI61" s="4"/>
      <c r="KRQ61" s="4"/>
      <c r="KRY61" s="4"/>
      <c r="KSG61" s="4"/>
      <c r="KSO61" s="4"/>
      <c r="KSW61" s="4"/>
      <c r="KTE61" s="4"/>
      <c r="KTM61" s="4"/>
      <c r="KTU61" s="4"/>
      <c r="KUC61" s="4"/>
      <c r="KUK61" s="4"/>
      <c r="KUS61" s="4"/>
      <c r="KVA61" s="4"/>
      <c r="KVI61" s="4"/>
      <c r="KVQ61" s="4"/>
      <c r="KVY61" s="4"/>
      <c r="KWG61" s="4"/>
      <c r="KWO61" s="4"/>
      <c r="KWW61" s="4"/>
      <c r="KXE61" s="4"/>
      <c r="KXM61" s="4"/>
      <c r="KXU61" s="4"/>
      <c r="KYC61" s="4"/>
      <c r="KYK61" s="4"/>
      <c r="KYS61" s="4"/>
      <c r="KZA61" s="4"/>
      <c r="KZI61" s="4"/>
      <c r="KZQ61" s="4"/>
      <c r="KZY61" s="4"/>
      <c r="LAG61" s="4"/>
      <c r="LAO61" s="4"/>
      <c r="LAW61" s="4"/>
      <c r="LBE61" s="4"/>
      <c r="LBM61" s="4"/>
      <c r="LBU61" s="4"/>
      <c r="LCC61" s="4"/>
      <c r="LCK61" s="4"/>
      <c r="LCS61" s="4"/>
      <c r="LDA61" s="4"/>
      <c r="LDI61" s="4"/>
      <c r="LDQ61" s="4"/>
      <c r="LDY61" s="4"/>
      <c r="LEG61" s="4"/>
      <c r="LEO61" s="4"/>
      <c r="LEW61" s="4"/>
      <c r="LFE61" s="4"/>
      <c r="LFM61" s="4"/>
      <c r="LFU61" s="4"/>
      <c r="LGC61" s="4"/>
      <c r="LGK61" s="4"/>
      <c r="LGS61" s="4"/>
      <c r="LHA61" s="4"/>
      <c r="LHI61" s="4"/>
      <c r="LHQ61" s="4"/>
      <c r="LHY61" s="4"/>
      <c r="LIG61" s="4"/>
      <c r="LIO61" s="4"/>
      <c r="LIW61" s="4"/>
      <c r="LJE61" s="4"/>
      <c r="LJM61" s="4"/>
      <c r="LJU61" s="4"/>
      <c r="LKC61" s="4"/>
      <c r="LKK61" s="4"/>
      <c r="LKS61" s="4"/>
      <c r="LLA61" s="4"/>
      <c r="LLI61" s="4"/>
      <c r="LLQ61" s="4"/>
      <c r="LLY61" s="4"/>
      <c r="LMG61" s="4"/>
      <c r="LMO61" s="4"/>
      <c r="LMW61" s="4"/>
      <c r="LNE61" s="4"/>
      <c r="LNM61" s="4"/>
      <c r="LNU61" s="4"/>
      <c r="LOC61" s="4"/>
      <c r="LOK61" s="4"/>
      <c r="LOS61" s="4"/>
      <c r="LPA61" s="4"/>
      <c r="LPI61" s="4"/>
      <c r="LPQ61" s="4"/>
      <c r="LPY61" s="4"/>
      <c r="LQG61" s="4"/>
      <c r="LQO61" s="4"/>
      <c r="LQW61" s="4"/>
      <c r="LRE61" s="4"/>
      <c r="LRM61" s="4"/>
      <c r="LRU61" s="4"/>
      <c r="LSC61" s="4"/>
      <c r="LSK61" s="4"/>
      <c r="LSS61" s="4"/>
      <c r="LTA61" s="4"/>
      <c r="LTI61" s="4"/>
      <c r="LTQ61" s="4"/>
      <c r="LTY61" s="4"/>
      <c r="LUG61" s="4"/>
      <c r="LUO61" s="4"/>
      <c r="LUW61" s="4"/>
      <c r="LVE61" s="4"/>
      <c r="LVM61" s="4"/>
      <c r="LVU61" s="4"/>
      <c r="LWC61" s="4"/>
      <c r="LWK61" s="4"/>
      <c r="LWS61" s="4"/>
      <c r="LXA61" s="4"/>
      <c r="LXI61" s="4"/>
      <c r="LXQ61" s="4"/>
      <c r="LXY61" s="4"/>
      <c r="LYG61" s="4"/>
      <c r="LYO61" s="4"/>
      <c r="LYW61" s="4"/>
      <c r="LZE61" s="4"/>
      <c r="LZM61" s="4"/>
      <c r="LZU61" s="4"/>
      <c r="MAC61" s="4"/>
      <c r="MAK61" s="4"/>
      <c r="MAS61" s="4"/>
      <c r="MBA61" s="4"/>
      <c r="MBI61" s="4"/>
      <c r="MBQ61" s="4"/>
      <c r="MBY61" s="4"/>
      <c r="MCG61" s="4"/>
      <c r="MCO61" s="4"/>
      <c r="MCW61" s="4"/>
      <c r="MDE61" s="4"/>
      <c r="MDM61" s="4"/>
      <c r="MDU61" s="4"/>
      <c r="MEC61" s="4"/>
      <c r="MEK61" s="4"/>
      <c r="MES61" s="4"/>
      <c r="MFA61" s="4"/>
      <c r="MFI61" s="4"/>
      <c r="MFQ61" s="4"/>
      <c r="MFY61" s="4"/>
      <c r="MGG61" s="4"/>
      <c r="MGO61" s="4"/>
      <c r="MGW61" s="4"/>
      <c r="MHE61" s="4"/>
      <c r="MHM61" s="4"/>
      <c r="MHU61" s="4"/>
      <c r="MIC61" s="4"/>
      <c r="MIK61" s="4"/>
      <c r="MIS61" s="4"/>
      <c r="MJA61" s="4"/>
      <c r="MJI61" s="4"/>
      <c r="MJQ61" s="4"/>
      <c r="MJY61" s="4"/>
      <c r="MKG61" s="4"/>
      <c r="MKO61" s="4"/>
      <c r="MKW61" s="4"/>
      <c r="MLE61" s="4"/>
      <c r="MLM61" s="4"/>
      <c r="MLU61" s="4"/>
      <c r="MMC61" s="4"/>
      <c r="MMK61" s="4"/>
      <c r="MMS61" s="4"/>
      <c r="MNA61" s="4"/>
      <c r="MNI61" s="4"/>
      <c r="MNQ61" s="4"/>
      <c r="MNY61" s="4"/>
      <c r="MOG61" s="4"/>
      <c r="MOO61" s="4"/>
      <c r="MOW61" s="4"/>
      <c r="MPE61" s="4"/>
      <c r="MPM61" s="4"/>
      <c r="MPU61" s="4"/>
      <c r="MQC61" s="4"/>
      <c r="MQK61" s="4"/>
      <c r="MQS61" s="4"/>
      <c r="MRA61" s="4"/>
      <c r="MRI61" s="4"/>
      <c r="MRQ61" s="4"/>
      <c r="MRY61" s="4"/>
      <c r="MSG61" s="4"/>
      <c r="MSO61" s="4"/>
      <c r="MSW61" s="4"/>
      <c r="MTE61" s="4"/>
      <c r="MTM61" s="4"/>
      <c r="MTU61" s="4"/>
      <c r="MUC61" s="4"/>
      <c r="MUK61" s="4"/>
      <c r="MUS61" s="4"/>
      <c r="MVA61" s="4"/>
      <c r="MVI61" s="4"/>
      <c r="MVQ61" s="4"/>
      <c r="MVY61" s="4"/>
      <c r="MWG61" s="4"/>
      <c r="MWO61" s="4"/>
      <c r="MWW61" s="4"/>
      <c r="MXE61" s="4"/>
      <c r="MXM61" s="4"/>
      <c r="MXU61" s="4"/>
      <c r="MYC61" s="4"/>
      <c r="MYK61" s="4"/>
      <c r="MYS61" s="4"/>
      <c r="MZA61" s="4"/>
      <c r="MZI61" s="4"/>
      <c r="MZQ61" s="4"/>
      <c r="MZY61" s="4"/>
      <c r="NAG61" s="4"/>
      <c r="NAO61" s="4"/>
      <c r="NAW61" s="4"/>
      <c r="NBE61" s="4"/>
      <c r="NBM61" s="4"/>
      <c r="NBU61" s="4"/>
      <c r="NCC61" s="4"/>
      <c r="NCK61" s="4"/>
      <c r="NCS61" s="4"/>
      <c r="NDA61" s="4"/>
      <c r="NDI61" s="4"/>
      <c r="NDQ61" s="4"/>
      <c r="NDY61" s="4"/>
      <c r="NEG61" s="4"/>
      <c r="NEO61" s="4"/>
      <c r="NEW61" s="4"/>
      <c r="NFE61" s="4"/>
      <c r="NFM61" s="4"/>
      <c r="NFU61" s="4"/>
      <c r="NGC61" s="4"/>
      <c r="NGK61" s="4"/>
      <c r="NGS61" s="4"/>
      <c r="NHA61" s="4"/>
      <c r="NHI61" s="4"/>
      <c r="NHQ61" s="4"/>
      <c r="NHY61" s="4"/>
      <c r="NIG61" s="4"/>
      <c r="NIO61" s="4"/>
      <c r="NIW61" s="4"/>
      <c r="NJE61" s="4"/>
      <c r="NJM61" s="4"/>
      <c r="NJU61" s="4"/>
      <c r="NKC61" s="4"/>
      <c r="NKK61" s="4"/>
      <c r="NKS61" s="4"/>
      <c r="NLA61" s="4"/>
      <c r="NLI61" s="4"/>
      <c r="NLQ61" s="4"/>
      <c r="NLY61" s="4"/>
      <c r="NMG61" s="4"/>
      <c r="NMO61" s="4"/>
      <c r="NMW61" s="4"/>
      <c r="NNE61" s="4"/>
      <c r="NNM61" s="4"/>
      <c r="NNU61" s="4"/>
      <c r="NOC61" s="4"/>
      <c r="NOK61" s="4"/>
      <c r="NOS61" s="4"/>
      <c r="NPA61" s="4"/>
      <c r="NPI61" s="4"/>
      <c r="NPQ61" s="4"/>
      <c r="NPY61" s="4"/>
      <c r="NQG61" s="4"/>
      <c r="NQO61" s="4"/>
      <c r="NQW61" s="4"/>
      <c r="NRE61" s="4"/>
      <c r="NRM61" s="4"/>
      <c r="NRU61" s="4"/>
      <c r="NSC61" s="4"/>
      <c r="NSK61" s="4"/>
      <c r="NSS61" s="4"/>
      <c r="NTA61" s="4"/>
      <c r="NTI61" s="4"/>
      <c r="NTQ61" s="4"/>
      <c r="NTY61" s="4"/>
      <c r="NUG61" s="4"/>
      <c r="NUO61" s="4"/>
      <c r="NUW61" s="4"/>
      <c r="NVE61" s="4"/>
      <c r="NVM61" s="4"/>
      <c r="NVU61" s="4"/>
      <c r="NWC61" s="4"/>
      <c r="NWK61" s="4"/>
      <c r="NWS61" s="4"/>
      <c r="NXA61" s="4"/>
      <c r="NXI61" s="4"/>
      <c r="NXQ61" s="4"/>
      <c r="NXY61" s="4"/>
      <c r="NYG61" s="4"/>
      <c r="NYO61" s="4"/>
      <c r="NYW61" s="4"/>
      <c r="NZE61" s="4"/>
      <c r="NZM61" s="4"/>
      <c r="NZU61" s="4"/>
      <c r="OAC61" s="4"/>
      <c r="OAK61" s="4"/>
      <c r="OAS61" s="4"/>
      <c r="OBA61" s="4"/>
      <c r="OBI61" s="4"/>
      <c r="OBQ61" s="4"/>
      <c r="OBY61" s="4"/>
      <c r="OCG61" s="4"/>
      <c r="OCO61" s="4"/>
      <c r="OCW61" s="4"/>
      <c r="ODE61" s="4"/>
      <c r="ODM61" s="4"/>
      <c r="ODU61" s="4"/>
      <c r="OEC61" s="4"/>
      <c r="OEK61" s="4"/>
      <c r="OES61" s="4"/>
      <c r="OFA61" s="4"/>
      <c r="OFI61" s="4"/>
      <c r="OFQ61" s="4"/>
      <c r="OFY61" s="4"/>
      <c r="OGG61" s="4"/>
      <c r="OGO61" s="4"/>
      <c r="OGW61" s="4"/>
      <c r="OHE61" s="4"/>
      <c r="OHM61" s="4"/>
      <c r="OHU61" s="4"/>
      <c r="OIC61" s="4"/>
      <c r="OIK61" s="4"/>
      <c r="OIS61" s="4"/>
      <c r="OJA61" s="4"/>
      <c r="OJI61" s="4"/>
      <c r="OJQ61" s="4"/>
      <c r="OJY61" s="4"/>
      <c r="OKG61" s="4"/>
      <c r="OKO61" s="4"/>
      <c r="OKW61" s="4"/>
      <c r="OLE61" s="4"/>
      <c r="OLM61" s="4"/>
      <c r="OLU61" s="4"/>
      <c r="OMC61" s="4"/>
      <c r="OMK61" s="4"/>
      <c r="OMS61" s="4"/>
      <c r="ONA61" s="4"/>
      <c r="ONI61" s="4"/>
      <c r="ONQ61" s="4"/>
      <c r="ONY61" s="4"/>
      <c r="OOG61" s="4"/>
      <c r="OOO61" s="4"/>
      <c r="OOW61" s="4"/>
      <c r="OPE61" s="4"/>
      <c r="OPM61" s="4"/>
      <c r="OPU61" s="4"/>
      <c r="OQC61" s="4"/>
      <c r="OQK61" s="4"/>
      <c r="OQS61" s="4"/>
      <c r="ORA61" s="4"/>
      <c r="ORI61" s="4"/>
      <c r="ORQ61" s="4"/>
      <c r="ORY61" s="4"/>
      <c r="OSG61" s="4"/>
      <c r="OSO61" s="4"/>
      <c r="OSW61" s="4"/>
      <c r="OTE61" s="4"/>
      <c r="OTM61" s="4"/>
      <c r="OTU61" s="4"/>
      <c r="OUC61" s="4"/>
      <c r="OUK61" s="4"/>
      <c r="OUS61" s="4"/>
      <c r="OVA61" s="4"/>
      <c r="OVI61" s="4"/>
      <c r="OVQ61" s="4"/>
      <c r="OVY61" s="4"/>
      <c r="OWG61" s="4"/>
      <c r="OWO61" s="4"/>
      <c r="OWW61" s="4"/>
      <c r="OXE61" s="4"/>
      <c r="OXM61" s="4"/>
      <c r="OXU61" s="4"/>
      <c r="OYC61" s="4"/>
      <c r="OYK61" s="4"/>
      <c r="OYS61" s="4"/>
      <c r="OZA61" s="4"/>
      <c r="OZI61" s="4"/>
      <c r="OZQ61" s="4"/>
      <c r="OZY61" s="4"/>
      <c r="PAG61" s="4"/>
      <c r="PAO61" s="4"/>
      <c r="PAW61" s="4"/>
      <c r="PBE61" s="4"/>
      <c r="PBM61" s="4"/>
      <c r="PBU61" s="4"/>
      <c r="PCC61" s="4"/>
      <c r="PCK61" s="4"/>
      <c r="PCS61" s="4"/>
      <c r="PDA61" s="4"/>
      <c r="PDI61" s="4"/>
      <c r="PDQ61" s="4"/>
      <c r="PDY61" s="4"/>
      <c r="PEG61" s="4"/>
      <c r="PEO61" s="4"/>
      <c r="PEW61" s="4"/>
      <c r="PFE61" s="4"/>
      <c r="PFM61" s="4"/>
      <c r="PFU61" s="4"/>
      <c r="PGC61" s="4"/>
      <c r="PGK61" s="4"/>
      <c r="PGS61" s="4"/>
      <c r="PHA61" s="4"/>
      <c r="PHI61" s="4"/>
      <c r="PHQ61" s="4"/>
      <c r="PHY61" s="4"/>
      <c r="PIG61" s="4"/>
      <c r="PIO61" s="4"/>
      <c r="PIW61" s="4"/>
      <c r="PJE61" s="4"/>
      <c r="PJM61" s="4"/>
      <c r="PJU61" s="4"/>
      <c r="PKC61" s="4"/>
      <c r="PKK61" s="4"/>
      <c r="PKS61" s="4"/>
      <c r="PLA61" s="4"/>
      <c r="PLI61" s="4"/>
      <c r="PLQ61" s="4"/>
      <c r="PLY61" s="4"/>
      <c r="PMG61" s="4"/>
      <c r="PMO61" s="4"/>
      <c r="PMW61" s="4"/>
      <c r="PNE61" s="4"/>
      <c r="PNM61" s="4"/>
      <c r="PNU61" s="4"/>
      <c r="POC61" s="4"/>
      <c r="POK61" s="4"/>
      <c r="POS61" s="4"/>
      <c r="PPA61" s="4"/>
      <c r="PPI61" s="4"/>
      <c r="PPQ61" s="4"/>
      <c r="PPY61" s="4"/>
      <c r="PQG61" s="4"/>
      <c r="PQO61" s="4"/>
      <c r="PQW61" s="4"/>
      <c r="PRE61" s="4"/>
      <c r="PRM61" s="4"/>
      <c r="PRU61" s="4"/>
      <c r="PSC61" s="4"/>
      <c r="PSK61" s="4"/>
      <c r="PSS61" s="4"/>
      <c r="PTA61" s="4"/>
      <c r="PTI61" s="4"/>
      <c r="PTQ61" s="4"/>
      <c r="PTY61" s="4"/>
      <c r="PUG61" s="4"/>
      <c r="PUO61" s="4"/>
      <c r="PUW61" s="4"/>
      <c r="PVE61" s="4"/>
      <c r="PVM61" s="4"/>
      <c r="PVU61" s="4"/>
      <c r="PWC61" s="4"/>
      <c r="PWK61" s="4"/>
      <c r="PWS61" s="4"/>
      <c r="PXA61" s="4"/>
      <c r="PXI61" s="4"/>
      <c r="PXQ61" s="4"/>
      <c r="PXY61" s="4"/>
      <c r="PYG61" s="4"/>
      <c r="PYO61" s="4"/>
      <c r="PYW61" s="4"/>
      <c r="PZE61" s="4"/>
      <c r="PZM61" s="4"/>
      <c r="PZU61" s="4"/>
      <c r="QAC61" s="4"/>
      <c r="QAK61" s="4"/>
      <c r="QAS61" s="4"/>
      <c r="QBA61" s="4"/>
      <c r="QBI61" s="4"/>
      <c r="QBQ61" s="4"/>
      <c r="QBY61" s="4"/>
      <c r="QCG61" s="4"/>
      <c r="QCO61" s="4"/>
      <c r="QCW61" s="4"/>
      <c r="QDE61" s="4"/>
      <c r="QDM61" s="4"/>
      <c r="QDU61" s="4"/>
      <c r="QEC61" s="4"/>
      <c r="QEK61" s="4"/>
      <c r="QES61" s="4"/>
      <c r="QFA61" s="4"/>
      <c r="QFI61" s="4"/>
      <c r="QFQ61" s="4"/>
      <c r="QFY61" s="4"/>
      <c r="QGG61" s="4"/>
      <c r="QGO61" s="4"/>
      <c r="QGW61" s="4"/>
      <c r="QHE61" s="4"/>
      <c r="QHM61" s="4"/>
      <c r="QHU61" s="4"/>
      <c r="QIC61" s="4"/>
      <c r="QIK61" s="4"/>
      <c r="QIS61" s="4"/>
      <c r="QJA61" s="4"/>
      <c r="QJI61" s="4"/>
      <c r="QJQ61" s="4"/>
      <c r="QJY61" s="4"/>
      <c r="QKG61" s="4"/>
      <c r="QKO61" s="4"/>
      <c r="QKW61" s="4"/>
      <c r="QLE61" s="4"/>
      <c r="QLM61" s="4"/>
      <c r="QLU61" s="4"/>
      <c r="QMC61" s="4"/>
      <c r="QMK61" s="4"/>
      <c r="QMS61" s="4"/>
      <c r="QNA61" s="4"/>
      <c r="QNI61" s="4"/>
      <c r="QNQ61" s="4"/>
      <c r="QNY61" s="4"/>
      <c r="QOG61" s="4"/>
      <c r="QOO61" s="4"/>
      <c r="QOW61" s="4"/>
      <c r="QPE61" s="4"/>
      <c r="QPM61" s="4"/>
      <c r="QPU61" s="4"/>
      <c r="QQC61" s="4"/>
      <c r="QQK61" s="4"/>
      <c r="QQS61" s="4"/>
      <c r="QRA61" s="4"/>
      <c r="QRI61" s="4"/>
      <c r="QRQ61" s="4"/>
      <c r="QRY61" s="4"/>
      <c r="QSG61" s="4"/>
      <c r="QSO61" s="4"/>
      <c r="QSW61" s="4"/>
      <c r="QTE61" s="4"/>
      <c r="QTM61" s="4"/>
      <c r="QTU61" s="4"/>
      <c r="QUC61" s="4"/>
      <c r="QUK61" s="4"/>
      <c r="QUS61" s="4"/>
      <c r="QVA61" s="4"/>
      <c r="QVI61" s="4"/>
      <c r="QVQ61" s="4"/>
      <c r="QVY61" s="4"/>
      <c r="QWG61" s="4"/>
      <c r="QWO61" s="4"/>
      <c r="QWW61" s="4"/>
      <c r="QXE61" s="4"/>
      <c r="QXM61" s="4"/>
      <c r="QXU61" s="4"/>
      <c r="QYC61" s="4"/>
      <c r="QYK61" s="4"/>
      <c r="QYS61" s="4"/>
      <c r="QZA61" s="4"/>
      <c r="QZI61" s="4"/>
      <c r="QZQ61" s="4"/>
      <c r="QZY61" s="4"/>
      <c r="RAG61" s="4"/>
      <c r="RAO61" s="4"/>
      <c r="RAW61" s="4"/>
      <c r="RBE61" s="4"/>
      <c r="RBM61" s="4"/>
      <c r="RBU61" s="4"/>
      <c r="RCC61" s="4"/>
      <c r="RCK61" s="4"/>
      <c r="RCS61" s="4"/>
      <c r="RDA61" s="4"/>
      <c r="RDI61" s="4"/>
      <c r="RDQ61" s="4"/>
      <c r="RDY61" s="4"/>
      <c r="REG61" s="4"/>
      <c r="REO61" s="4"/>
      <c r="REW61" s="4"/>
      <c r="RFE61" s="4"/>
      <c r="RFM61" s="4"/>
      <c r="RFU61" s="4"/>
      <c r="RGC61" s="4"/>
      <c r="RGK61" s="4"/>
      <c r="RGS61" s="4"/>
      <c r="RHA61" s="4"/>
      <c r="RHI61" s="4"/>
      <c r="RHQ61" s="4"/>
      <c r="RHY61" s="4"/>
      <c r="RIG61" s="4"/>
      <c r="RIO61" s="4"/>
      <c r="RIW61" s="4"/>
      <c r="RJE61" s="4"/>
      <c r="RJM61" s="4"/>
      <c r="RJU61" s="4"/>
      <c r="RKC61" s="4"/>
      <c r="RKK61" s="4"/>
      <c r="RKS61" s="4"/>
      <c r="RLA61" s="4"/>
      <c r="RLI61" s="4"/>
      <c r="RLQ61" s="4"/>
      <c r="RLY61" s="4"/>
      <c r="RMG61" s="4"/>
      <c r="RMO61" s="4"/>
      <c r="RMW61" s="4"/>
      <c r="RNE61" s="4"/>
      <c r="RNM61" s="4"/>
      <c r="RNU61" s="4"/>
      <c r="ROC61" s="4"/>
      <c r="ROK61" s="4"/>
      <c r="ROS61" s="4"/>
      <c r="RPA61" s="4"/>
      <c r="RPI61" s="4"/>
      <c r="RPQ61" s="4"/>
      <c r="RPY61" s="4"/>
      <c r="RQG61" s="4"/>
      <c r="RQO61" s="4"/>
      <c r="RQW61" s="4"/>
      <c r="RRE61" s="4"/>
      <c r="RRM61" s="4"/>
      <c r="RRU61" s="4"/>
      <c r="RSC61" s="4"/>
      <c r="RSK61" s="4"/>
      <c r="RSS61" s="4"/>
      <c r="RTA61" s="4"/>
      <c r="RTI61" s="4"/>
      <c r="RTQ61" s="4"/>
      <c r="RTY61" s="4"/>
      <c r="RUG61" s="4"/>
      <c r="RUO61" s="4"/>
      <c r="RUW61" s="4"/>
      <c r="RVE61" s="4"/>
      <c r="RVM61" s="4"/>
      <c r="RVU61" s="4"/>
      <c r="RWC61" s="4"/>
      <c r="RWK61" s="4"/>
      <c r="RWS61" s="4"/>
      <c r="RXA61" s="4"/>
      <c r="RXI61" s="4"/>
      <c r="RXQ61" s="4"/>
      <c r="RXY61" s="4"/>
      <c r="RYG61" s="4"/>
      <c r="RYO61" s="4"/>
      <c r="RYW61" s="4"/>
      <c r="RZE61" s="4"/>
      <c r="RZM61" s="4"/>
      <c r="RZU61" s="4"/>
      <c r="SAC61" s="4"/>
      <c r="SAK61" s="4"/>
      <c r="SAS61" s="4"/>
      <c r="SBA61" s="4"/>
      <c r="SBI61" s="4"/>
      <c r="SBQ61" s="4"/>
      <c r="SBY61" s="4"/>
      <c r="SCG61" s="4"/>
      <c r="SCO61" s="4"/>
      <c r="SCW61" s="4"/>
      <c r="SDE61" s="4"/>
      <c r="SDM61" s="4"/>
      <c r="SDU61" s="4"/>
      <c r="SEC61" s="4"/>
      <c r="SEK61" s="4"/>
      <c r="SES61" s="4"/>
      <c r="SFA61" s="4"/>
      <c r="SFI61" s="4"/>
      <c r="SFQ61" s="4"/>
      <c r="SFY61" s="4"/>
      <c r="SGG61" s="4"/>
      <c r="SGO61" s="4"/>
      <c r="SGW61" s="4"/>
      <c r="SHE61" s="4"/>
      <c r="SHM61" s="4"/>
      <c r="SHU61" s="4"/>
      <c r="SIC61" s="4"/>
      <c r="SIK61" s="4"/>
      <c r="SIS61" s="4"/>
      <c r="SJA61" s="4"/>
      <c r="SJI61" s="4"/>
      <c r="SJQ61" s="4"/>
      <c r="SJY61" s="4"/>
      <c r="SKG61" s="4"/>
      <c r="SKO61" s="4"/>
      <c r="SKW61" s="4"/>
      <c r="SLE61" s="4"/>
      <c r="SLM61" s="4"/>
      <c r="SLU61" s="4"/>
      <c r="SMC61" s="4"/>
      <c r="SMK61" s="4"/>
      <c r="SMS61" s="4"/>
      <c r="SNA61" s="4"/>
      <c r="SNI61" s="4"/>
      <c r="SNQ61" s="4"/>
      <c r="SNY61" s="4"/>
      <c r="SOG61" s="4"/>
      <c r="SOO61" s="4"/>
      <c r="SOW61" s="4"/>
      <c r="SPE61" s="4"/>
      <c r="SPM61" s="4"/>
      <c r="SPU61" s="4"/>
      <c r="SQC61" s="4"/>
      <c r="SQK61" s="4"/>
      <c r="SQS61" s="4"/>
      <c r="SRA61" s="4"/>
      <c r="SRI61" s="4"/>
      <c r="SRQ61" s="4"/>
      <c r="SRY61" s="4"/>
      <c r="SSG61" s="4"/>
      <c r="SSO61" s="4"/>
      <c r="SSW61" s="4"/>
      <c r="STE61" s="4"/>
      <c r="STM61" s="4"/>
      <c r="STU61" s="4"/>
      <c r="SUC61" s="4"/>
      <c r="SUK61" s="4"/>
      <c r="SUS61" s="4"/>
      <c r="SVA61" s="4"/>
      <c r="SVI61" s="4"/>
      <c r="SVQ61" s="4"/>
      <c r="SVY61" s="4"/>
      <c r="SWG61" s="4"/>
      <c r="SWO61" s="4"/>
      <c r="SWW61" s="4"/>
      <c r="SXE61" s="4"/>
      <c r="SXM61" s="4"/>
      <c r="SXU61" s="4"/>
      <c r="SYC61" s="4"/>
      <c r="SYK61" s="4"/>
      <c r="SYS61" s="4"/>
      <c r="SZA61" s="4"/>
      <c r="SZI61" s="4"/>
      <c r="SZQ61" s="4"/>
      <c r="SZY61" s="4"/>
      <c r="TAG61" s="4"/>
      <c r="TAO61" s="4"/>
      <c r="TAW61" s="4"/>
      <c r="TBE61" s="4"/>
      <c r="TBM61" s="4"/>
      <c r="TBU61" s="4"/>
      <c r="TCC61" s="4"/>
      <c r="TCK61" s="4"/>
      <c r="TCS61" s="4"/>
      <c r="TDA61" s="4"/>
      <c r="TDI61" s="4"/>
      <c r="TDQ61" s="4"/>
      <c r="TDY61" s="4"/>
      <c r="TEG61" s="4"/>
      <c r="TEO61" s="4"/>
      <c r="TEW61" s="4"/>
      <c r="TFE61" s="4"/>
      <c r="TFM61" s="4"/>
      <c r="TFU61" s="4"/>
      <c r="TGC61" s="4"/>
      <c r="TGK61" s="4"/>
      <c r="TGS61" s="4"/>
      <c r="THA61" s="4"/>
      <c r="THI61" s="4"/>
      <c r="THQ61" s="4"/>
      <c r="THY61" s="4"/>
      <c r="TIG61" s="4"/>
      <c r="TIO61" s="4"/>
      <c r="TIW61" s="4"/>
      <c r="TJE61" s="4"/>
      <c r="TJM61" s="4"/>
      <c r="TJU61" s="4"/>
      <c r="TKC61" s="4"/>
      <c r="TKK61" s="4"/>
      <c r="TKS61" s="4"/>
      <c r="TLA61" s="4"/>
      <c r="TLI61" s="4"/>
      <c r="TLQ61" s="4"/>
      <c r="TLY61" s="4"/>
      <c r="TMG61" s="4"/>
      <c r="TMO61" s="4"/>
      <c r="TMW61" s="4"/>
      <c r="TNE61" s="4"/>
      <c r="TNM61" s="4"/>
      <c r="TNU61" s="4"/>
      <c r="TOC61" s="4"/>
      <c r="TOK61" s="4"/>
      <c r="TOS61" s="4"/>
      <c r="TPA61" s="4"/>
      <c r="TPI61" s="4"/>
      <c r="TPQ61" s="4"/>
      <c r="TPY61" s="4"/>
      <c r="TQG61" s="4"/>
      <c r="TQO61" s="4"/>
      <c r="TQW61" s="4"/>
      <c r="TRE61" s="4"/>
      <c r="TRM61" s="4"/>
      <c r="TRU61" s="4"/>
      <c r="TSC61" s="4"/>
      <c r="TSK61" s="4"/>
      <c r="TSS61" s="4"/>
      <c r="TTA61" s="4"/>
      <c r="TTI61" s="4"/>
      <c r="TTQ61" s="4"/>
      <c r="TTY61" s="4"/>
      <c r="TUG61" s="4"/>
      <c r="TUO61" s="4"/>
      <c r="TUW61" s="4"/>
      <c r="TVE61" s="4"/>
      <c r="TVM61" s="4"/>
      <c r="TVU61" s="4"/>
      <c r="TWC61" s="4"/>
      <c r="TWK61" s="4"/>
      <c r="TWS61" s="4"/>
      <c r="TXA61" s="4"/>
      <c r="TXI61" s="4"/>
      <c r="TXQ61" s="4"/>
      <c r="TXY61" s="4"/>
      <c r="TYG61" s="4"/>
      <c r="TYO61" s="4"/>
      <c r="TYW61" s="4"/>
      <c r="TZE61" s="4"/>
      <c r="TZM61" s="4"/>
      <c r="TZU61" s="4"/>
      <c r="UAC61" s="4"/>
      <c r="UAK61" s="4"/>
      <c r="UAS61" s="4"/>
      <c r="UBA61" s="4"/>
      <c r="UBI61" s="4"/>
      <c r="UBQ61" s="4"/>
      <c r="UBY61" s="4"/>
      <c r="UCG61" s="4"/>
      <c r="UCO61" s="4"/>
      <c r="UCW61" s="4"/>
      <c r="UDE61" s="4"/>
      <c r="UDM61" s="4"/>
      <c r="UDU61" s="4"/>
      <c r="UEC61" s="4"/>
      <c r="UEK61" s="4"/>
      <c r="UES61" s="4"/>
      <c r="UFA61" s="4"/>
      <c r="UFI61" s="4"/>
      <c r="UFQ61" s="4"/>
      <c r="UFY61" s="4"/>
      <c r="UGG61" s="4"/>
      <c r="UGO61" s="4"/>
      <c r="UGW61" s="4"/>
      <c r="UHE61" s="4"/>
      <c r="UHM61" s="4"/>
      <c r="UHU61" s="4"/>
      <c r="UIC61" s="4"/>
      <c r="UIK61" s="4"/>
      <c r="UIS61" s="4"/>
      <c r="UJA61" s="4"/>
      <c r="UJI61" s="4"/>
      <c r="UJQ61" s="4"/>
      <c r="UJY61" s="4"/>
      <c r="UKG61" s="4"/>
      <c r="UKO61" s="4"/>
      <c r="UKW61" s="4"/>
      <c r="ULE61" s="4"/>
      <c r="ULM61" s="4"/>
      <c r="ULU61" s="4"/>
      <c r="UMC61" s="4"/>
      <c r="UMK61" s="4"/>
      <c r="UMS61" s="4"/>
      <c r="UNA61" s="4"/>
      <c r="UNI61" s="4"/>
      <c r="UNQ61" s="4"/>
      <c r="UNY61" s="4"/>
      <c r="UOG61" s="4"/>
      <c r="UOO61" s="4"/>
      <c r="UOW61" s="4"/>
      <c r="UPE61" s="4"/>
      <c r="UPM61" s="4"/>
      <c r="UPU61" s="4"/>
      <c r="UQC61" s="4"/>
      <c r="UQK61" s="4"/>
      <c r="UQS61" s="4"/>
      <c r="URA61" s="4"/>
      <c r="URI61" s="4"/>
      <c r="URQ61" s="4"/>
      <c r="URY61" s="4"/>
      <c r="USG61" s="4"/>
      <c r="USO61" s="4"/>
      <c r="USW61" s="4"/>
      <c r="UTE61" s="4"/>
      <c r="UTM61" s="4"/>
      <c r="UTU61" s="4"/>
      <c r="UUC61" s="4"/>
      <c r="UUK61" s="4"/>
      <c r="UUS61" s="4"/>
      <c r="UVA61" s="4"/>
      <c r="UVI61" s="4"/>
      <c r="UVQ61" s="4"/>
      <c r="UVY61" s="4"/>
      <c r="UWG61" s="4"/>
      <c r="UWO61" s="4"/>
      <c r="UWW61" s="4"/>
      <c r="UXE61" s="4"/>
      <c r="UXM61" s="4"/>
      <c r="UXU61" s="4"/>
      <c r="UYC61" s="4"/>
      <c r="UYK61" s="4"/>
      <c r="UYS61" s="4"/>
      <c r="UZA61" s="4"/>
      <c r="UZI61" s="4"/>
      <c r="UZQ61" s="4"/>
      <c r="UZY61" s="4"/>
      <c r="VAG61" s="4"/>
      <c r="VAO61" s="4"/>
      <c r="VAW61" s="4"/>
      <c r="VBE61" s="4"/>
      <c r="VBM61" s="4"/>
      <c r="VBU61" s="4"/>
      <c r="VCC61" s="4"/>
      <c r="VCK61" s="4"/>
      <c r="VCS61" s="4"/>
      <c r="VDA61" s="4"/>
      <c r="VDI61" s="4"/>
      <c r="VDQ61" s="4"/>
      <c r="VDY61" s="4"/>
      <c r="VEG61" s="4"/>
      <c r="VEO61" s="4"/>
      <c r="VEW61" s="4"/>
      <c r="VFE61" s="4"/>
      <c r="VFM61" s="4"/>
      <c r="VFU61" s="4"/>
      <c r="VGC61" s="4"/>
      <c r="VGK61" s="4"/>
      <c r="VGS61" s="4"/>
      <c r="VHA61" s="4"/>
      <c r="VHI61" s="4"/>
      <c r="VHQ61" s="4"/>
      <c r="VHY61" s="4"/>
      <c r="VIG61" s="4"/>
      <c r="VIO61" s="4"/>
      <c r="VIW61" s="4"/>
      <c r="VJE61" s="4"/>
      <c r="VJM61" s="4"/>
      <c r="VJU61" s="4"/>
      <c r="VKC61" s="4"/>
      <c r="VKK61" s="4"/>
      <c r="VKS61" s="4"/>
      <c r="VLA61" s="4"/>
      <c r="VLI61" s="4"/>
      <c r="VLQ61" s="4"/>
      <c r="VLY61" s="4"/>
      <c r="VMG61" s="4"/>
      <c r="VMO61" s="4"/>
      <c r="VMW61" s="4"/>
      <c r="VNE61" s="4"/>
      <c r="VNM61" s="4"/>
      <c r="VNU61" s="4"/>
      <c r="VOC61" s="4"/>
      <c r="VOK61" s="4"/>
      <c r="VOS61" s="4"/>
      <c r="VPA61" s="4"/>
      <c r="VPI61" s="4"/>
      <c r="VPQ61" s="4"/>
      <c r="VPY61" s="4"/>
      <c r="VQG61" s="4"/>
      <c r="VQO61" s="4"/>
      <c r="VQW61" s="4"/>
      <c r="VRE61" s="4"/>
      <c r="VRM61" s="4"/>
      <c r="VRU61" s="4"/>
      <c r="VSC61" s="4"/>
      <c r="VSK61" s="4"/>
      <c r="VSS61" s="4"/>
      <c r="VTA61" s="4"/>
      <c r="VTI61" s="4"/>
      <c r="VTQ61" s="4"/>
      <c r="VTY61" s="4"/>
      <c r="VUG61" s="4"/>
      <c r="VUO61" s="4"/>
      <c r="VUW61" s="4"/>
      <c r="VVE61" s="4"/>
      <c r="VVM61" s="4"/>
      <c r="VVU61" s="4"/>
      <c r="VWC61" s="4"/>
      <c r="VWK61" s="4"/>
      <c r="VWS61" s="4"/>
      <c r="VXA61" s="4"/>
      <c r="VXI61" s="4"/>
      <c r="VXQ61" s="4"/>
      <c r="VXY61" s="4"/>
      <c r="VYG61" s="4"/>
      <c r="VYO61" s="4"/>
      <c r="VYW61" s="4"/>
      <c r="VZE61" s="4"/>
      <c r="VZM61" s="4"/>
      <c r="VZU61" s="4"/>
      <c r="WAC61" s="4"/>
      <c r="WAK61" s="4"/>
      <c r="WAS61" s="4"/>
      <c r="WBA61" s="4"/>
      <c r="WBI61" s="4"/>
      <c r="WBQ61" s="4"/>
      <c r="WBY61" s="4"/>
      <c r="WCG61" s="4"/>
      <c r="WCO61" s="4"/>
      <c r="WCW61" s="4"/>
      <c r="WDE61" s="4"/>
      <c r="WDM61" s="4"/>
      <c r="WDU61" s="4"/>
      <c r="WEC61" s="4"/>
      <c r="WEK61" s="4"/>
      <c r="WES61" s="4"/>
      <c r="WFA61" s="4"/>
      <c r="WFI61" s="4"/>
      <c r="WFQ61" s="4"/>
      <c r="WFY61" s="4"/>
      <c r="WGG61" s="4"/>
      <c r="WGO61" s="4"/>
      <c r="WGW61" s="4"/>
      <c r="WHE61" s="4"/>
      <c r="WHM61" s="4"/>
      <c r="WHU61" s="4"/>
      <c r="WIC61" s="4"/>
      <c r="WIK61" s="4"/>
      <c r="WIS61" s="4"/>
      <c r="WJA61" s="4"/>
      <c r="WJI61" s="4"/>
      <c r="WJQ61" s="4"/>
      <c r="WJY61" s="4"/>
      <c r="WKG61" s="4"/>
      <c r="WKO61" s="4"/>
      <c r="WKW61" s="4"/>
      <c r="WLE61" s="4"/>
      <c r="WLM61" s="4"/>
      <c r="WLU61" s="4"/>
      <c r="WMC61" s="4"/>
      <c r="WMK61" s="4"/>
      <c r="WMS61" s="4"/>
      <c r="WNA61" s="4"/>
      <c r="WNI61" s="4"/>
      <c r="WNQ61" s="4"/>
      <c r="WNY61" s="4"/>
      <c r="WOG61" s="4"/>
      <c r="WOO61" s="4"/>
      <c r="WOW61" s="4"/>
      <c r="WPE61" s="4"/>
      <c r="WPM61" s="4"/>
      <c r="WPU61" s="4"/>
      <c r="WQC61" s="4"/>
      <c r="WQK61" s="4"/>
      <c r="WQS61" s="4"/>
      <c r="WRA61" s="4"/>
      <c r="WRI61" s="4"/>
      <c r="WRQ61" s="4"/>
      <c r="WRY61" s="4"/>
      <c r="WSG61" s="4"/>
      <c r="WSO61" s="4"/>
      <c r="WSW61" s="4"/>
      <c r="WTE61" s="4"/>
      <c r="WTM61" s="4"/>
      <c r="WTU61" s="4"/>
      <c r="WUC61" s="4"/>
      <c r="WUK61" s="4"/>
      <c r="WUS61" s="4"/>
      <c r="WVA61" s="4"/>
      <c r="WVI61" s="4"/>
      <c r="WVQ61" s="4"/>
      <c r="WVY61" s="4"/>
      <c r="WWG61" s="4"/>
      <c r="WWO61" s="4"/>
      <c r="WWW61" s="4"/>
      <c r="WXE61" s="4"/>
      <c r="WXM61" s="4"/>
      <c r="WXU61" s="4"/>
      <c r="WYC61" s="4"/>
      <c r="WYK61" s="4"/>
      <c r="WYS61" s="4"/>
      <c r="WZA61" s="4"/>
      <c r="WZI61" s="4"/>
      <c r="WZQ61" s="4"/>
      <c r="WZY61" s="4"/>
      <c r="XAG61" s="4"/>
      <c r="XAO61" s="4"/>
      <c r="XAW61" s="4"/>
      <c r="XBE61" s="4"/>
      <c r="XBM61" s="4"/>
      <c r="XBU61" s="4"/>
      <c r="XCC61" s="4"/>
      <c r="XCK61" s="4"/>
      <c r="XCS61" s="4"/>
      <c r="XDA61" s="4"/>
      <c r="XDI61" s="4"/>
      <c r="XDQ61" s="4"/>
      <c r="XDY61" s="4"/>
      <c r="XEG61" s="4"/>
      <c r="XEO61" s="4"/>
      <c r="XEW61" s="4"/>
    </row>
    <row r="62" spans="1:1017 1025:2041 2049:3065 3073:4089 4097:5113 5121:6137 6145:7161 7169:8185 8193:9209 9217:10233 10241:11257 11265:12281 12289:13305 13313:14329 14337:15353 15361:16377" ht="16.5" x14ac:dyDescent="0.45">
      <c r="A62" s="4"/>
      <c r="B62" s="4" t="s">
        <v>99</v>
      </c>
      <c r="C62" s="1">
        <f>C63*SQRT(C6*C66*L70*G66)</f>
        <v>1085.5896881640222</v>
      </c>
      <c r="D62" s="1" t="s">
        <v>19</v>
      </c>
      <c r="H62" s="2"/>
      <c r="I62" s="2"/>
      <c r="Q62" s="4"/>
      <c r="Y62" s="4"/>
      <c r="AG62" s="4"/>
      <c r="AO62" s="4"/>
      <c r="AW62" s="4"/>
      <c r="BE62" s="4"/>
      <c r="BM62" s="4"/>
      <c r="BU62" s="4"/>
      <c r="CC62" s="4"/>
      <c r="CK62" s="4"/>
      <c r="CS62" s="4"/>
      <c r="DA62" s="4"/>
      <c r="DI62" s="4"/>
      <c r="DQ62" s="4"/>
      <c r="DY62" s="4"/>
      <c r="EG62" s="4"/>
      <c r="EO62" s="4"/>
      <c r="EW62" s="4"/>
      <c r="FE62" s="4"/>
      <c r="FM62" s="4"/>
      <c r="FU62" s="4"/>
      <c r="GC62" s="4"/>
      <c r="GK62" s="4"/>
      <c r="GS62" s="4"/>
      <c r="HA62" s="4"/>
      <c r="HI62" s="4"/>
      <c r="HQ62" s="4"/>
      <c r="HY62" s="4"/>
      <c r="IG62" s="4"/>
      <c r="IO62" s="4"/>
      <c r="IW62" s="4"/>
      <c r="JE62" s="4"/>
      <c r="JM62" s="4"/>
      <c r="JU62" s="4"/>
      <c r="KC62" s="4"/>
      <c r="KK62" s="4"/>
      <c r="KS62" s="4"/>
      <c r="LA62" s="4"/>
      <c r="LI62" s="4"/>
      <c r="LQ62" s="4"/>
      <c r="LY62" s="4"/>
      <c r="MG62" s="4"/>
      <c r="MO62" s="4"/>
      <c r="MW62" s="4"/>
      <c r="NE62" s="4"/>
      <c r="NM62" s="4"/>
      <c r="NU62" s="4"/>
      <c r="OC62" s="4"/>
      <c r="OK62" s="4"/>
      <c r="OS62" s="4"/>
      <c r="PA62" s="4"/>
      <c r="PI62" s="4"/>
      <c r="PQ62" s="4"/>
      <c r="PY62" s="4"/>
      <c r="QG62" s="4"/>
      <c r="QO62" s="4"/>
      <c r="QW62" s="4"/>
      <c r="RE62" s="4"/>
      <c r="RM62" s="4"/>
      <c r="RU62" s="4"/>
      <c r="SC62" s="4"/>
      <c r="SK62" s="4"/>
      <c r="SS62" s="4"/>
      <c r="TA62" s="4"/>
      <c r="TI62" s="4"/>
      <c r="TQ62" s="4"/>
      <c r="TY62" s="4"/>
      <c r="UG62" s="4"/>
      <c r="UO62" s="4"/>
      <c r="UW62" s="4"/>
      <c r="VE62" s="4"/>
      <c r="VM62" s="4"/>
      <c r="VU62" s="4"/>
      <c r="WC62" s="4"/>
      <c r="WK62" s="4"/>
      <c r="WS62" s="4"/>
      <c r="XA62" s="4"/>
      <c r="XI62" s="4"/>
      <c r="XQ62" s="4"/>
      <c r="XY62" s="4"/>
      <c r="YG62" s="4"/>
      <c r="YO62" s="4"/>
      <c r="YW62" s="4"/>
      <c r="ZE62" s="4"/>
      <c r="ZM62" s="4"/>
      <c r="ZU62" s="4"/>
      <c r="AAC62" s="4"/>
      <c r="AAK62" s="4"/>
      <c r="AAS62" s="4"/>
      <c r="ABA62" s="4"/>
      <c r="ABI62" s="4"/>
      <c r="ABQ62" s="4"/>
      <c r="ABY62" s="4"/>
      <c r="ACG62" s="4"/>
      <c r="ACO62" s="4"/>
      <c r="ACW62" s="4"/>
      <c r="ADE62" s="4"/>
      <c r="ADM62" s="4"/>
      <c r="ADU62" s="4"/>
      <c r="AEC62" s="4"/>
      <c r="AEK62" s="4"/>
      <c r="AES62" s="4"/>
      <c r="AFA62" s="4"/>
      <c r="AFI62" s="4"/>
      <c r="AFQ62" s="4"/>
      <c r="AFY62" s="4"/>
      <c r="AGG62" s="4"/>
      <c r="AGO62" s="4"/>
      <c r="AGW62" s="4"/>
      <c r="AHE62" s="4"/>
      <c r="AHM62" s="4"/>
      <c r="AHU62" s="4"/>
      <c r="AIC62" s="4"/>
      <c r="AIK62" s="4"/>
      <c r="AIS62" s="4"/>
      <c r="AJA62" s="4"/>
      <c r="AJI62" s="4"/>
      <c r="AJQ62" s="4"/>
      <c r="AJY62" s="4"/>
      <c r="AKG62" s="4"/>
      <c r="AKO62" s="4"/>
      <c r="AKW62" s="4"/>
      <c r="ALE62" s="4"/>
      <c r="ALM62" s="4"/>
      <c r="ALU62" s="4"/>
      <c r="AMC62" s="4"/>
      <c r="AMK62" s="4"/>
      <c r="AMS62" s="4"/>
      <c r="ANA62" s="4"/>
      <c r="ANI62" s="4"/>
      <c r="ANQ62" s="4"/>
      <c r="ANY62" s="4"/>
      <c r="AOG62" s="4"/>
      <c r="AOO62" s="4"/>
      <c r="AOW62" s="4"/>
      <c r="APE62" s="4"/>
      <c r="APM62" s="4"/>
      <c r="APU62" s="4"/>
      <c r="AQC62" s="4"/>
      <c r="AQK62" s="4"/>
      <c r="AQS62" s="4"/>
      <c r="ARA62" s="4"/>
      <c r="ARI62" s="4"/>
      <c r="ARQ62" s="4"/>
      <c r="ARY62" s="4"/>
      <c r="ASG62" s="4"/>
      <c r="ASO62" s="4"/>
      <c r="ASW62" s="4"/>
      <c r="ATE62" s="4"/>
      <c r="ATM62" s="4"/>
      <c r="ATU62" s="4"/>
      <c r="AUC62" s="4"/>
      <c r="AUK62" s="4"/>
      <c r="AUS62" s="4"/>
      <c r="AVA62" s="4"/>
      <c r="AVI62" s="4"/>
      <c r="AVQ62" s="4"/>
      <c r="AVY62" s="4"/>
      <c r="AWG62" s="4"/>
      <c r="AWO62" s="4"/>
      <c r="AWW62" s="4"/>
      <c r="AXE62" s="4"/>
      <c r="AXM62" s="4"/>
      <c r="AXU62" s="4"/>
      <c r="AYC62" s="4"/>
      <c r="AYK62" s="4"/>
      <c r="AYS62" s="4"/>
      <c r="AZA62" s="4"/>
      <c r="AZI62" s="4"/>
      <c r="AZQ62" s="4"/>
      <c r="AZY62" s="4"/>
      <c r="BAG62" s="4"/>
      <c r="BAO62" s="4"/>
      <c r="BAW62" s="4"/>
      <c r="BBE62" s="4"/>
      <c r="BBM62" s="4"/>
      <c r="BBU62" s="4"/>
      <c r="BCC62" s="4"/>
      <c r="BCK62" s="4"/>
      <c r="BCS62" s="4"/>
      <c r="BDA62" s="4"/>
      <c r="BDI62" s="4"/>
      <c r="BDQ62" s="4"/>
      <c r="BDY62" s="4"/>
      <c r="BEG62" s="4"/>
      <c r="BEO62" s="4"/>
      <c r="BEW62" s="4"/>
      <c r="BFE62" s="4"/>
      <c r="BFM62" s="4"/>
      <c r="BFU62" s="4"/>
      <c r="BGC62" s="4"/>
      <c r="BGK62" s="4"/>
      <c r="BGS62" s="4"/>
      <c r="BHA62" s="4"/>
      <c r="BHI62" s="4"/>
      <c r="BHQ62" s="4"/>
      <c r="BHY62" s="4"/>
      <c r="BIG62" s="4"/>
      <c r="BIO62" s="4"/>
      <c r="BIW62" s="4"/>
      <c r="BJE62" s="4"/>
      <c r="BJM62" s="4"/>
      <c r="BJU62" s="4"/>
      <c r="BKC62" s="4"/>
      <c r="BKK62" s="4"/>
      <c r="BKS62" s="4"/>
      <c r="BLA62" s="4"/>
      <c r="BLI62" s="4"/>
      <c r="BLQ62" s="4"/>
      <c r="BLY62" s="4"/>
      <c r="BMG62" s="4"/>
      <c r="BMO62" s="4"/>
      <c r="BMW62" s="4"/>
      <c r="BNE62" s="4"/>
      <c r="BNM62" s="4"/>
      <c r="BNU62" s="4"/>
      <c r="BOC62" s="4"/>
      <c r="BOK62" s="4"/>
      <c r="BOS62" s="4"/>
      <c r="BPA62" s="4"/>
      <c r="BPI62" s="4"/>
      <c r="BPQ62" s="4"/>
      <c r="BPY62" s="4"/>
      <c r="BQG62" s="4"/>
      <c r="BQO62" s="4"/>
      <c r="BQW62" s="4"/>
      <c r="BRE62" s="4"/>
      <c r="BRM62" s="4"/>
      <c r="BRU62" s="4"/>
      <c r="BSC62" s="4"/>
      <c r="BSK62" s="4"/>
      <c r="BSS62" s="4"/>
      <c r="BTA62" s="4"/>
      <c r="BTI62" s="4"/>
      <c r="BTQ62" s="4"/>
      <c r="BTY62" s="4"/>
      <c r="BUG62" s="4"/>
      <c r="BUO62" s="4"/>
      <c r="BUW62" s="4"/>
      <c r="BVE62" s="4"/>
      <c r="BVM62" s="4"/>
      <c r="BVU62" s="4"/>
      <c r="BWC62" s="4"/>
      <c r="BWK62" s="4"/>
      <c r="BWS62" s="4"/>
      <c r="BXA62" s="4"/>
      <c r="BXI62" s="4"/>
      <c r="BXQ62" s="4"/>
      <c r="BXY62" s="4"/>
      <c r="BYG62" s="4"/>
      <c r="BYO62" s="4"/>
      <c r="BYW62" s="4"/>
      <c r="BZE62" s="4"/>
      <c r="BZM62" s="4"/>
      <c r="BZU62" s="4"/>
      <c r="CAC62" s="4"/>
      <c r="CAK62" s="4"/>
      <c r="CAS62" s="4"/>
      <c r="CBA62" s="4"/>
      <c r="CBI62" s="4"/>
      <c r="CBQ62" s="4"/>
      <c r="CBY62" s="4"/>
      <c r="CCG62" s="4"/>
      <c r="CCO62" s="4"/>
      <c r="CCW62" s="4"/>
      <c r="CDE62" s="4"/>
      <c r="CDM62" s="4"/>
      <c r="CDU62" s="4"/>
      <c r="CEC62" s="4"/>
      <c r="CEK62" s="4"/>
      <c r="CES62" s="4"/>
      <c r="CFA62" s="4"/>
      <c r="CFI62" s="4"/>
      <c r="CFQ62" s="4"/>
      <c r="CFY62" s="4"/>
      <c r="CGG62" s="4"/>
      <c r="CGO62" s="4"/>
      <c r="CGW62" s="4"/>
      <c r="CHE62" s="4"/>
      <c r="CHM62" s="4"/>
      <c r="CHU62" s="4"/>
      <c r="CIC62" s="4"/>
      <c r="CIK62" s="4"/>
      <c r="CIS62" s="4"/>
      <c r="CJA62" s="4"/>
      <c r="CJI62" s="4"/>
      <c r="CJQ62" s="4"/>
      <c r="CJY62" s="4"/>
      <c r="CKG62" s="4"/>
      <c r="CKO62" s="4"/>
      <c r="CKW62" s="4"/>
      <c r="CLE62" s="4"/>
      <c r="CLM62" s="4"/>
      <c r="CLU62" s="4"/>
      <c r="CMC62" s="4"/>
      <c r="CMK62" s="4"/>
      <c r="CMS62" s="4"/>
      <c r="CNA62" s="4"/>
      <c r="CNI62" s="4"/>
      <c r="CNQ62" s="4"/>
      <c r="CNY62" s="4"/>
      <c r="COG62" s="4"/>
      <c r="COO62" s="4"/>
      <c r="COW62" s="4"/>
      <c r="CPE62" s="4"/>
      <c r="CPM62" s="4"/>
      <c r="CPU62" s="4"/>
      <c r="CQC62" s="4"/>
      <c r="CQK62" s="4"/>
      <c r="CQS62" s="4"/>
      <c r="CRA62" s="4"/>
      <c r="CRI62" s="4"/>
      <c r="CRQ62" s="4"/>
      <c r="CRY62" s="4"/>
      <c r="CSG62" s="4"/>
      <c r="CSO62" s="4"/>
      <c r="CSW62" s="4"/>
      <c r="CTE62" s="4"/>
      <c r="CTM62" s="4"/>
      <c r="CTU62" s="4"/>
      <c r="CUC62" s="4"/>
      <c r="CUK62" s="4"/>
      <c r="CUS62" s="4"/>
      <c r="CVA62" s="4"/>
      <c r="CVI62" s="4"/>
      <c r="CVQ62" s="4"/>
      <c r="CVY62" s="4"/>
      <c r="CWG62" s="4"/>
      <c r="CWO62" s="4"/>
      <c r="CWW62" s="4"/>
      <c r="CXE62" s="4"/>
      <c r="CXM62" s="4"/>
      <c r="CXU62" s="4"/>
      <c r="CYC62" s="4"/>
      <c r="CYK62" s="4"/>
      <c r="CYS62" s="4"/>
      <c r="CZA62" s="4"/>
      <c r="CZI62" s="4"/>
      <c r="CZQ62" s="4"/>
      <c r="CZY62" s="4"/>
      <c r="DAG62" s="4"/>
      <c r="DAO62" s="4"/>
      <c r="DAW62" s="4"/>
      <c r="DBE62" s="4"/>
      <c r="DBM62" s="4"/>
      <c r="DBU62" s="4"/>
      <c r="DCC62" s="4"/>
      <c r="DCK62" s="4"/>
      <c r="DCS62" s="4"/>
      <c r="DDA62" s="4"/>
      <c r="DDI62" s="4"/>
      <c r="DDQ62" s="4"/>
      <c r="DDY62" s="4"/>
      <c r="DEG62" s="4"/>
      <c r="DEO62" s="4"/>
      <c r="DEW62" s="4"/>
      <c r="DFE62" s="4"/>
      <c r="DFM62" s="4"/>
      <c r="DFU62" s="4"/>
      <c r="DGC62" s="4"/>
      <c r="DGK62" s="4"/>
      <c r="DGS62" s="4"/>
      <c r="DHA62" s="4"/>
      <c r="DHI62" s="4"/>
      <c r="DHQ62" s="4"/>
      <c r="DHY62" s="4"/>
      <c r="DIG62" s="4"/>
      <c r="DIO62" s="4"/>
      <c r="DIW62" s="4"/>
      <c r="DJE62" s="4"/>
      <c r="DJM62" s="4"/>
      <c r="DJU62" s="4"/>
      <c r="DKC62" s="4"/>
      <c r="DKK62" s="4"/>
      <c r="DKS62" s="4"/>
      <c r="DLA62" s="4"/>
      <c r="DLI62" s="4"/>
      <c r="DLQ62" s="4"/>
      <c r="DLY62" s="4"/>
      <c r="DMG62" s="4"/>
      <c r="DMO62" s="4"/>
      <c r="DMW62" s="4"/>
      <c r="DNE62" s="4"/>
      <c r="DNM62" s="4"/>
      <c r="DNU62" s="4"/>
      <c r="DOC62" s="4"/>
      <c r="DOK62" s="4"/>
      <c r="DOS62" s="4"/>
      <c r="DPA62" s="4"/>
      <c r="DPI62" s="4"/>
      <c r="DPQ62" s="4"/>
      <c r="DPY62" s="4"/>
      <c r="DQG62" s="4"/>
      <c r="DQO62" s="4"/>
      <c r="DQW62" s="4"/>
      <c r="DRE62" s="4"/>
      <c r="DRM62" s="4"/>
      <c r="DRU62" s="4"/>
      <c r="DSC62" s="4"/>
      <c r="DSK62" s="4"/>
      <c r="DSS62" s="4"/>
      <c r="DTA62" s="4"/>
      <c r="DTI62" s="4"/>
      <c r="DTQ62" s="4"/>
      <c r="DTY62" s="4"/>
      <c r="DUG62" s="4"/>
      <c r="DUO62" s="4"/>
      <c r="DUW62" s="4"/>
      <c r="DVE62" s="4"/>
      <c r="DVM62" s="4"/>
      <c r="DVU62" s="4"/>
      <c r="DWC62" s="4"/>
      <c r="DWK62" s="4"/>
      <c r="DWS62" s="4"/>
      <c r="DXA62" s="4"/>
      <c r="DXI62" s="4"/>
      <c r="DXQ62" s="4"/>
      <c r="DXY62" s="4"/>
      <c r="DYG62" s="4"/>
      <c r="DYO62" s="4"/>
      <c r="DYW62" s="4"/>
      <c r="DZE62" s="4"/>
      <c r="DZM62" s="4"/>
      <c r="DZU62" s="4"/>
      <c r="EAC62" s="4"/>
      <c r="EAK62" s="4"/>
      <c r="EAS62" s="4"/>
      <c r="EBA62" s="4"/>
      <c r="EBI62" s="4"/>
      <c r="EBQ62" s="4"/>
      <c r="EBY62" s="4"/>
      <c r="ECG62" s="4"/>
      <c r="ECO62" s="4"/>
      <c r="ECW62" s="4"/>
      <c r="EDE62" s="4"/>
      <c r="EDM62" s="4"/>
      <c r="EDU62" s="4"/>
      <c r="EEC62" s="4"/>
      <c r="EEK62" s="4"/>
      <c r="EES62" s="4"/>
      <c r="EFA62" s="4"/>
      <c r="EFI62" s="4"/>
      <c r="EFQ62" s="4"/>
      <c r="EFY62" s="4"/>
      <c r="EGG62" s="4"/>
      <c r="EGO62" s="4"/>
      <c r="EGW62" s="4"/>
      <c r="EHE62" s="4"/>
      <c r="EHM62" s="4"/>
      <c r="EHU62" s="4"/>
      <c r="EIC62" s="4"/>
      <c r="EIK62" s="4"/>
      <c r="EIS62" s="4"/>
      <c r="EJA62" s="4"/>
      <c r="EJI62" s="4"/>
      <c r="EJQ62" s="4"/>
      <c r="EJY62" s="4"/>
      <c r="EKG62" s="4"/>
      <c r="EKO62" s="4"/>
      <c r="EKW62" s="4"/>
      <c r="ELE62" s="4"/>
      <c r="ELM62" s="4"/>
      <c r="ELU62" s="4"/>
      <c r="EMC62" s="4"/>
      <c r="EMK62" s="4"/>
      <c r="EMS62" s="4"/>
      <c r="ENA62" s="4"/>
      <c r="ENI62" s="4"/>
      <c r="ENQ62" s="4"/>
      <c r="ENY62" s="4"/>
      <c r="EOG62" s="4"/>
      <c r="EOO62" s="4"/>
      <c r="EOW62" s="4"/>
      <c r="EPE62" s="4"/>
      <c r="EPM62" s="4"/>
      <c r="EPU62" s="4"/>
      <c r="EQC62" s="4"/>
      <c r="EQK62" s="4"/>
      <c r="EQS62" s="4"/>
      <c r="ERA62" s="4"/>
      <c r="ERI62" s="4"/>
      <c r="ERQ62" s="4"/>
      <c r="ERY62" s="4"/>
      <c r="ESG62" s="4"/>
      <c r="ESO62" s="4"/>
      <c r="ESW62" s="4"/>
      <c r="ETE62" s="4"/>
      <c r="ETM62" s="4"/>
      <c r="ETU62" s="4"/>
      <c r="EUC62" s="4"/>
      <c r="EUK62" s="4"/>
      <c r="EUS62" s="4"/>
      <c r="EVA62" s="4"/>
      <c r="EVI62" s="4"/>
      <c r="EVQ62" s="4"/>
      <c r="EVY62" s="4"/>
      <c r="EWG62" s="4"/>
      <c r="EWO62" s="4"/>
      <c r="EWW62" s="4"/>
      <c r="EXE62" s="4"/>
      <c r="EXM62" s="4"/>
      <c r="EXU62" s="4"/>
      <c r="EYC62" s="4"/>
      <c r="EYK62" s="4"/>
      <c r="EYS62" s="4"/>
      <c r="EZA62" s="4"/>
      <c r="EZI62" s="4"/>
      <c r="EZQ62" s="4"/>
      <c r="EZY62" s="4"/>
      <c r="FAG62" s="4"/>
      <c r="FAO62" s="4"/>
      <c r="FAW62" s="4"/>
      <c r="FBE62" s="4"/>
      <c r="FBM62" s="4"/>
      <c r="FBU62" s="4"/>
      <c r="FCC62" s="4"/>
      <c r="FCK62" s="4"/>
      <c r="FCS62" s="4"/>
      <c r="FDA62" s="4"/>
      <c r="FDI62" s="4"/>
      <c r="FDQ62" s="4"/>
      <c r="FDY62" s="4"/>
      <c r="FEG62" s="4"/>
      <c r="FEO62" s="4"/>
      <c r="FEW62" s="4"/>
      <c r="FFE62" s="4"/>
      <c r="FFM62" s="4"/>
      <c r="FFU62" s="4"/>
      <c r="FGC62" s="4"/>
      <c r="FGK62" s="4"/>
      <c r="FGS62" s="4"/>
      <c r="FHA62" s="4"/>
      <c r="FHI62" s="4"/>
      <c r="FHQ62" s="4"/>
      <c r="FHY62" s="4"/>
      <c r="FIG62" s="4"/>
      <c r="FIO62" s="4"/>
      <c r="FIW62" s="4"/>
      <c r="FJE62" s="4"/>
      <c r="FJM62" s="4"/>
      <c r="FJU62" s="4"/>
      <c r="FKC62" s="4"/>
      <c r="FKK62" s="4"/>
      <c r="FKS62" s="4"/>
      <c r="FLA62" s="4"/>
      <c r="FLI62" s="4"/>
      <c r="FLQ62" s="4"/>
      <c r="FLY62" s="4"/>
      <c r="FMG62" s="4"/>
      <c r="FMO62" s="4"/>
      <c r="FMW62" s="4"/>
      <c r="FNE62" s="4"/>
      <c r="FNM62" s="4"/>
      <c r="FNU62" s="4"/>
      <c r="FOC62" s="4"/>
      <c r="FOK62" s="4"/>
      <c r="FOS62" s="4"/>
      <c r="FPA62" s="4"/>
      <c r="FPI62" s="4"/>
      <c r="FPQ62" s="4"/>
      <c r="FPY62" s="4"/>
      <c r="FQG62" s="4"/>
      <c r="FQO62" s="4"/>
      <c r="FQW62" s="4"/>
      <c r="FRE62" s="4"/>
      <c r="FRM62" s="4"/>
      <c r="FRU62" s="4"/>
      <c r="FSC62" s="4"/>
      <c r="FSK62" s="4"/>
      <c r="FSS62" s="4"/>
      <c r="FTA62" s="4"/>
      <c r="FTI62" s="4"/>
      <c r="FTQ62" s="4"/>
      <c r="FTY62" s="4"/>
      <c r="FUG62" s="4"/>
      <c r="FUO62" s="4"/>
      <c r="FUW62" s="4"/>
      <c r="FVE62" s="4"/>
      <c r="FVM62" s="4"/>
      <c r="FVU62" s="4"/>
      <c r="FWC62" s="4"/>
      <c r="FWK62" s="4"/>
      <c r="FWS62" s="4"/>
      <c r="FXA62" s="4"/>
      <c r="FXI62" s="4"/>
      <c r="FXQ62" s="4"/>
      <c r="FXY62" s="4"/>
      <c r="FYG62" s="4"/>
      <c r="FYO62" s="4"/>
      <c r="FYW62" s="4"/>
      <c r="FZE62" s="4"/>
      <c r="FZM62" s="4"/>
      <c r="FZU62" s="4"/>
      <c r="GAC62" s="4"/>
      <c r="GAK62" s="4"/>
      <c r="GAS62" s="4"/>
      <c r="GBA62" s="4"/>
      <c r="GBI62" s="4"/>
      <c r="GBQ62" s="4"/>
      <c r="GBY62" s="4"/>
      <c r="GCG62" s="4"/>
      <c r="GCO62" s="4"/>
      <c r="GCW62" s="4"/>
      <c r="GDE62" s="4"/>
      <c r="GDM62" s="4"/>
      <c r="GDU62" s="4"/>
      <c r="GEC62" s="4"/>
      <c r="GEK62" s="4"/>
      <c r="GES62" s="4"/>
      <c r="GFA62" s="4"/>
      <c r="GFI62" s="4"/>
      <c r="GFQ62" s="4"/>
      <c r="GFY62" s="4"/>
      <c r="GGG62" s="4"/>
      <c r="GGO62" s="4"/>
      <c r="GGW62" s="4"/>
      <c r="GHE62" s="4"/>
      <c r="GHM62" s="4"/>
      <c r="GHU62" s="4"/>
      <c r="GIC62" s="4"/>
      <c r="GIK62" s="4"/>
      <c r="GIS62" s="4"/>
      <c r="GJA62" s="4"/>
      <c r="GJI62" s="4"/>
      <c r="GJQ62" s="4"/>
      <c r="GJY62" s="4"/>
      <c r="GKG62" s="4"/>
      <c r="GKO62" s="4"/>
      <c r="GKW62" s="4"/>
      <c r="GLE62" s="4"/>
      <c r="GLM62" s="4"/>
      <c r="GLU62" s="4"/>
      <c r="GMC62" s="4"/>
      <c r="GMK62" s="4"/>
      <c r="GMS62" s="4"/>
      <c r="GNA62" s="4"/>
      <c r="GNI62" s="4"/>
      <c r="GNQ62" s="4"/>
      <c r="GNY62" s="4"/>
      <c r="GOG62" s="4"/>
      <c r="GOO62" s="4"/>
      <c r="GOW62" s="4"/>
      <c r="GPE62" s="4"/>
      <c r="GPM62" s="4"/>
      <c r="GPU62" s="4"/>
      <c r="GQC62" s="4"/>
      <c r="GQK62" s="4"/>
      <c r="GQS62" s="4"/>
      <c r="GRA62" s="4"/>
      <c r="GRI62" s="4"/>
      <c r="GRQ62" s="4"/>
      <c r="GRY62" s="4"/>
      <c r="GSG62" s="4"/>
      <c r="GSO62" s="4"/>
      <c r="GSW62" s="4"/>
      <c r="GTE62" s="4"/>
      <c r="GTM62" s="4"/>
      <c r="GTU62" s="4"/>
      <c r="GUC62" s="4"/>
      <c r="GUK62" s="4"/>
      <c r="GUS62" s="4"/>
      <c r="GVA62" s="4"/>
      <c r="GVI62" s="4"/>
      <c r="GVQ62" s="4"/>
      <c r="GVY62" s="4"/>
      <c r="GWG62" s="4"/>
      <c r="GWO62" s="4"/>
      <c r="GWW62" s="4"/>
      <c r="GXE62" s="4"/>
      <c r="GXM62" s="4"/>
      <c r="GXU62" s="4"/>
      <c r="GYC62" s="4"/>
      <c r="GYK62" s="4"/>
      <c r="GYS62" s="4"/>
      <c r="GZA62" s="4"/>
      <c r="GZI62" s="4"/>
      <c r="GZQ62" s="4"/>
      <c r="GZY62" s="4"/>
      <c r="HAG62" s="4"/>
      <c r="HAO62" s="4"/>
      <c r="HAW62" s="4"/>
      <c r="HBE62" s="4"/>
      <c r="HBM62" s="4"/>
      <c r="HBU62" s="4"/>
      <c r="HCC62" s="4"/>
      <c r="HCK62" s="4"/>
      <c r="HCS62" s="4"/>
      <c r="HDA62" s="4"/>
      <c r="HDI62" s="4"/>
      <c r="HDQ62" s="4"/>
      <c r="HDY62" s="4"/>
      <c r="HEG62" s="4"/>
      <c r="HEO62" s="4"/>
      <c r="HEW62" s="4"/>
      <c r="HFE62" s="4"/>
      <c r="HFM62" s="4"/>
      <c r="HFU62" s="4"/>
      <c r="HGC62" s="4"/>
      <c r="HGK62" s="4"/>
      <c r="HGS62" s="4"/>
      <c r="HHA62" s="4"/>
      <c r="HHI62" s="4"/>
      <c r="HHQ62" s="4"/>
      <c r="HHY62" s="4"/>
      <c r="HIG62" s="4"/>
      <c r="HIO62" s="4"/>
      <c r="HIW62" s="4"/>
      <c r="HJE62" s="4"/>
      <c r="HJM62" s="4"/>
      <c r="HJU62" s="4"/>
      <c r="HKC62" s="4"/>
      <c r="HKK62" s="4"/>
      <c r="HKS62" s="4"/>
      <c r="HLA62" s="4"/>
      <c r="HLI62" s="4"/>
      <c r="HLQ62" s="4"/>
      <c r="HLY62" s="4"/>
      <c r="HMG62" s="4"/>
      <c r="HMO62" s="4"/>
      <c r="HMW62" s="4"/>
      <c r="HNE62" s="4"/>
      <c r="HNM62" s="4"/>
      <c r="HNU62" s="4"/>
      <c r="HOC62" s="4"/>
      <c r="HOK62" s="4"/>
      <c r="HOS62" s="4"/>
      <c r="HPA62" s="4"/>
      <c r="HPI62" s="4"/>
      <c r="HPQ62" s="4"/>
      <c r="HPY62" s="4"/>
      <c r="HQG62" s="4"/>
      <c r="HQO62" s="4"/>
      <c r="HQW62" s="4"/>
      <c r="HRE62" s="4"/>
      <c r="HRM62" s="4"/>
      <c r="HRU62" s="4"/>
      <c r="HSC62" s="4"/>
      <c r="HSK62" s="4"/>
      <c r="HSS62" s="4"/>
      <c r="HTA62" s="4"/>
      <c r="HTI62" s="4"/>
      <c r="HTQ62" s="4"/>
      <c r="HTY62" s="4"/>
      <c r="HUG62" s="4"/>
      <c r="HUO62" s="4"/>
      <c r="HUW62" s="4"/>
      <c r="HVE62" s="4"/>
      <c r="HVM62" s="4"/>
      <c r="HVU62" s="4"/>
      <c r="HWC62" s="4"/>
      <c r="HWK62" s="4"/>
      <c r="HWS62" s="4"/>
      <c r="HXA62" s="4"/>
      <c r="HXI62" s="4"/>
      <c r="HXQ62" s="4"/>
      <c r="HXY62" s="4"/>
      <c r="HYG62" s="4"/>
      <c r="HYO62" s="4"/>
      <c r="HYW62" s="4"/>
      <c r="HZE62" s="4"/>
      <c r="HZM62" s="4"/>
      <c r="HZU62" s="4"/>
      <c r="IAC62" s="4"/>
      <c r="IAK62" s="4"/>
      <c r="IAS62" s="4"/>
      <c r="IBA62" s="4"/>
      <c r="IBI62" s="4"/>
      <c r="IBQ62" s="4"/>
      <c r="IBY62" s="4"/>
      <c r="ICG62" s="4"/>
      <c r="ICO62" s="4"/>
      <c r="ICW62" s="4"/>
      <c r="IDE62" s="4"/>
      <c r="IDM62" s="4"/>
      <c r="IDU62" s="4"/>
      <c r="IEC62" s="4"/>
      <c r="IEK62" s="4"/>
      <c r="IES62" s="4"/>
      <c r="IFA62" s="4"/>
      <c r="IFI62" s="4"/>
      <c r="IFQ62" s="4"/>
      <c r="IFY62" s="4"/>
      <c r="IGG62" s="4"/>
      <c r="IGO62" s="4"/>
      <c r="IGW62" s="4"/>
      <c r="IHE62" s="4"/>
      <c r="IHM62" s="4"/>
      <c r="IHU62" s="4"/>
      <c r="IIC62" s="4"/>
      <c r="IIK62" s="4"/>
      <c r="IIS62" s="4"/>
      <c r="IJA62" s="4"/>
      <c r="IJI62" s="4"/>
      <c r="IJQ62" s="4"/>
      <c r="IJY62" s="4"/>
      <c r="IKG62" s="4"/>
      <c r="IKO62" s="4"/>
      <c r="IKW62" s="4"/>
      <c r="ILE62" s="4"/>
      <c r="ILM62" s="4"/>
      <c r="ILU62" s="4"/>
      <c r="IMC62" s="4"/>
      <c r="IMK62" s="4"/>
      <c r="IMS62" s="4"/>
      <c r="INA62" s="4"/>
      <c r="INI62" s="4"/>
      <c r="INQ62" s="4"/>
      <c r="INY62" s="4"/>
      <c r="IOG62" s="4"/>
      <c r="IOO62" s="4"/>
      <c r="IOW62" s="4"/>
      <c r="IPE62" s="4"/>
      <c r="IPM62" s="4"/>
      <c r="IPU62" s="4"/>
      <c r="IQC62" s="4"/>
      <c r="IQK62" s="4"/>
      <c r="IQS62" s="4"/>
      <c r="IRA62" s="4"/>
      <c r="IRI62" s="4"/>
      <c r="IRQ62" s="4"/>
      <c r="IRY62" s="4"/>
      <c r="ISG62" s="4"/>
      <c r="ISO62" s="4"/>
      <c r="ISW62" s="4"/>
      <c r="ITE62" s="4"/>
      <c r="ITM62" s="4"/>
      <c r="ITU62" s="4"/>
      <c r="IUC62" s="4"/>
      <c r="IUK62" s="4"/>
      <c r="IUS62" s="4"/>
      <c r="IVA62" s="4"/>
      <c r="IVI62" s="4"/>
      <c r="IVQ62" s="4"/>
      <c r="IVY62" s="4"/>
      <c r="IWG62" s="4"/>
      <c r="IWO62" s="4"/>
      <c r="IWW62" s="4"/>
      <c r="IXE62" s="4"/>
      <c r="IXM62" s="4"/>
      <c r="IXU62" s="4"/>
      <c r="IYC62" s="4"/>
      <c r="IYK62" s="4"/>
      <c r="IYS62" s="4"/>
      <c r="IZA62" s="4"/>
      <c r="IZI62" s="4"/>
      <c r="IZQ62" s="4"/>
      <c r="IZY62" s="4"/>
      <c r="JAG62" s="4"/>
      <c r="JAO62" s="4"/>
      <c r="JAW62" s="4"/>
      <c r="JBE62" s="4"/>
      <c r="JBM62" s="4"/>
      <c r="JBU62" s="4"/>
      <c r="JCC62" s="4"/>
      <c r="JCK62" s="4"/>
      <c r="JCS62" s="4"/>
      <c r="JDA62" s="4"/>
      <c r="JDI62" s="4"/>
      <c r="JDQ62" s="4"/>
      <c r="JDY62" s="4"/>
      <c r="JEG62" s="4"/>
      <c r="JEO62" s="4"/>
      <c r="JEW62" s="4"/>
      <c r="JFE62" s="4"/>
      <c r="JFM62" s="4"/>
      <c r="JFU62" s="4"/>
      <c r="JGC62" s="4"/>
      <c r="JGK62" s="4"/>
      <c r="JGS62" s="4"/>
      <c r="JHA62" s="4"/>
      <c r="JHI62" s="4"/>
      <c r="JHQ62" s="4"/>
      <c r="JHY62" s="4"/>
      <c r="JIG62" s="4"/>
      <c r="JIO62" s="4"/>
      <c r="JIW62" s="4"/>
      <c r="JJE62" s="4"/>
      <c r="JJM62" s="4"/>
      <c r="JJU62" s="4"/>
      <c r="JKC62" s="4"/>
      <c r="JKK62" s="4"/>
      <c r="JKS62" s="4"/>
      <c r="JLA62" s="4"/>
      <c r="JLI62" s="4"/>
      <c r="JLQ62" s="4"/>
      <c r="JLY62" s="4"/>
      <c r="JMG62" s="4"/>
      <c r="JMO62" s="4"/>
      <c r="JMW62" s="4"/>
      <c r="JNE62" s="4"/>
      <c r="JNM62" s="4"/>
      <c r="JNU62" s="4"/>
      <c r="JOC62" s="4"/>
      <c r="JOK62" s="4"/>
      <c r="JOS62" s="4"/>
      <c r="JPA62" s="4"/>
      <c r="JPI62" s="4"/>
      <c r="JPQ62" s="4"/>
      <c r="JPY62" s="4"/>
      <c r="JQG62" s="4"/>
      <c r="JQO62" s="4"/>
      <c r="JQW62" s="4"/>
      <c r="JRE62" s="4"/>
      <c r="JRM62" s="4"/>
      <c r="JRU62" s="4"/>
      <c r="JSC62" s="4"/>
      <c r="JSK62" s="4"/>
      <c r="JSS62" s="4"/>
      <c r="JTA62" s="4"/>
      <c r="JTI62" s="4"/>
      <c r="JTQ62" s="4"/>
      <c r="JTY62" s="4"/>
      <c r="JUG62" s="4"/>
      <c r="JUO62" s="4"/>
      <c r="JUW62" s="4"/>
      <c r="JVE62" s="4"/>
      <c r="JVM62" s="4"/>
      <c r="JVU62" s="4"/>
      <c r="JWC62" s="4"/>
      <c r="JWK62" s="4"/>
      <c r="JWS62" s="4"/>
      <c r="JXA62" s="4"/>
      <c r="JXI62" s="4"/>
      <c r="JXQ62" s="4"/>
      <c r="JXY62" s="4"/>
      <c r="JYG62" s="4"/>
      <c r="JYO62" s="4"/>
      <c r="JYW62" s="4"/>
      <c r="JZE62" s="4"/>
      <c r="JZM62" s="4"/>
      <c r="JZU62" s="4"/>
      <c r="KAC62" s="4"/>
      <c r="KAK62" s="4"/>
      <c r="KAS62" s="4"/>
      <c r="KBA62" s="4"/>
      <c r="KBI62" s="4"/>
      <c r="KBQ62" s="4"/>
      <c r="KBY62" s="4"/>
      <c r="KCG62" s="4"/>
      <c r="KCO62" s="4"/>
      <c r="KCW62" s="4"/>
      <c r="KDE62" s="4"/>
      <c r="KDM62" s="4"/>
      <c r="KDU62" s="4"/>
      <c r="KEC62" s="4"/>
      <c r="KEK62" s="4"/>
      <c r="KES62" s="4"/>
      <c r="KFA62" s="4"/>
      <c r="KFI62" s="4"/>
      <c r="KFQ62" s="4"/>
      <c r="KFY62" s="4"/>
      <c r="KGG62" s="4"/>
      <c r="KGO62" s="4"/>
      <c r="KGW62" s="4"/>
      <c r="KHE62" s="4"/>
      <c r="KHM62" s="4"/>
      <c r="KHU62" s="4"/>
      <c r="KIC62" s="4"/>
      <c r="KIK62" s="4"/>
      <c r="KIS62" s="4"/>
      <c r="KJA62" s="4"/>
      <c r="KJI62" s="4"/>
      <c r="KJQ62" s="4"/>
      <c r="KJY62" s="4"/>
      <c r="KKG62" s="4"/>
      <c r="KKO62" s="4"/>
      <c r="KKW62" s="4"/>
      <c r="KLE62" s="4"/>
      <c r="KLM62" s="4"/>
      <c r="KLU62" s="4"/>
      <c r="KMC62" s="4"/>
      <c r="KMK62" s="4"/>
      <c r="KMS62" s="4"/>
      <c r="KNA62" s="4"/>
      <c r="KNI62" s="4"/>
      <c r="KNQ62" s="4"/>
      <c r="KNY62" s="4"/>
      <c r="KOG62" s="4"/>
      <c r="KOO62" s="4"/>
      <c r="KOW62" s="4"/>
      <c r="KPE62" s="4"/>
      <c r="KPM62" s="4"/>
      <c r="KPU62" s="4"/>
      <c r="KQC62" s="4"/>
      <c r="KQK62" s="4"/>
      <c r="KQS62" s="4"/>
      <c r="KRA62" s="4"/>
      <c r="KRI62" s="4"/>
      <c r="KRQ62" s="4"/>
      <c r="KRY62" s="4"/>
      <c r="KSG62" s="4"/>
      <c r="KSO62" s="4"/>
      <c r="KSW62" s="4"/>
      <c r="KTE62" s="4"/>
      <c r="KTM62" s="4"/>
      <c r="KTU62" s="4"/>
      <c r="KUC62" s="4"/>
      <c r="KUK62" s="4"/>
      <c r="KUS62" s="4"/>
      <c r="KVA62" s="4"/>
      <c r="KVI62" s="4"/>
      <c r="KVQ62" s="4"/>
      <c r="KVY62" s="4"/>
      <c r="KWG62" s="4"/>
      <c r="KWO62" s="4"/>
      <c r="KWW62" s="4"/>
      <c r="KXE62" s="4"/>
      <c r="KXM62" s="4"/>
      <c r="KXU62" s="4"/>
      <c r="KYC62" s="4"/>
      <c r="KYK62" s="4"/>
      <c r="KYS62" s="4"/>
      <c r="KZA62" s="4"/>
      <c r="KZI62" s="4"/>
      <c r="KZQ62" s="4"/>
      <c r="KZY62" s="4"/>
      <c r="LAG62" s="4"/>
      <c r="LAO62" s="4"/>
      <c r="LAW62" s="4"/>
      <c r="LBE62" s="4"/>
      <c r="LBM62" s="4"/>
      <c r="LBU62" s="4"/>
      <c r="LCC62" s="4"/>
      <c r="LCK62" s="4"/>
      <c r="LCS62" s="4"/>
      <c r="LDA62" s="4"/>
      <c r="LDI62" s="4"/>
      <c r="LDQ62" s="4"/>
      <c r="LDY62" s="4"/>
      <c r="LEG62" s="4"/>
      <c r="LEO62" s="4"/>
      <c r="LEW62" s="4"/>
      <c r="LFE62" s="4"/>
      <c r="LFM62" s="4"/>
      <c r="LFU62" s="4"/>
      <c r="LGC62" s="4"/>
      <c r="LGK62" s="4"/>
      <c r="LGS62" s="4"/>
      <c r="LHA62" s="4"/>
      <c r="LHI62" s="4"/>
      <c r="LHQ62" s="4"/>
      <c r="LHY62" s="4"/>
      <c r="LIG62" s="4"/>
      <c r="LIO62" s="4"/>
      <c r="LIW62" s="4"/>
      <c r="LJE62" s="4"/>
      <c r="LJM62" s="4"/>
      <c r="LJU62" s="4"/>
      <c r="LKC62" s="4"/>
      <c r="LKK62" s="4"/>
      <c r="LKS62" s="4"/>
      <c r="LLA62" s="4"/>
      <c r="LLI62" s="4"/>
      <c r="LLQ62" s="4"/>
      <c r="LLY62" s="4"/>
      <c r="LMG62" s="4"/>
      <c r="LMO62" s="4"/>
      <c r="LMW62" s="4"/>
      <c r="LNE62" s="4"/>
      <c r="LNM62" s="4"/>
      <c r="LNU62" s="4"/>
      <c r="LOC62" s="4"/>
      <c r="LOK62" s="4"/>
      <c r="LOS62" s="4"/>
      <c r="LPA62" s="4"/>
      <c r="LPI62" s="4"/>
      <c r="LPQ62" s="4"/>
      <c r="LPY62" s="4"/>
      <c r="LQG62" s="4"/>
      <c r="LQO62" s="4"/>
      <c r="LQW62" s="4"/>
      <c r="LRE62" s="4"/>
      <c r="LRM62" s="4"/>
      <c r="LRU62" s="4"/>
      <c r="LSC62" s="4"/>
      <c r="LSK62" s="4"/>
      <c r="LSS62" s="4"/>
      <c r="LTA62" s="4"/>
      <c r="LTI62" s="4"/>
      <c r="LTQ62" s="4"/>
      <c r="LTY62" s="4"/>
      <c r="LUG62" s="4"/>
      <c r="LUO62" s="4"/>
      <c r="LUW62" s="4"/>
      <c r="LVE62" s="4"/>
      <c r="LVM62" s="4"/>
      <c r="LVU62" s="4"/>
      <c r="LWC62" s="4"/>
      <c r="LWK62" s="4"/>
      <c r="LWS62" s="4"/>
      <c r="LXA62" s="4"/>
      <c r="LXI62" s="4"/>
      <c r="LXQ62" s="4"/>
      <c r="LXY62" s="4"/>
      <c r="LYG62" s="4"/>
      <c r="LYO62" s="4"/>
      <c r="LYW62" s="4"/>
      <c r="LZE62" s="4"/>
      <c r="LZM62" s="4"/>
      <c r="LZU62" s="4"/>
      <c r="MAC62" s="4"/>
      <c r="MAK62" s="4"/>
      <c r="MAS62" s="4"/>
      <c r="MBA62" s="4"/>
      <c r="MBI62" s="4"/>
      <c r="MBQ62" s="4"/>
      <c r="MBY62" s="4"/>
      <c r="MCG62" s="4"/>
      <c r="MCO62" s="4"/>
      <c r="MCW62" s="4"/>
      <c r="MDE62" s="4"/>
      <c r="MDM62" s="4"/>
      <c r="MDU62" s="4"/>
      <c r="MEC62" s="4"/>
      <c r="MEK62" s="4"/>
      <c r="MES62" s="4"/>
      <c r="MFA62" s="4"/>
      <c r="MFI62" s="4"/>
      <c r="MFQ62" s="4"/>
      <c r="MFY62" s="4"/>
      <c r="MGG62" s="4"/>
      <c r="MGO62" s="4"/>
      <c r="MGW62" s="4"/>
      <c r="MHE62" s="4"/>
      <c r="MHM62" s="4"/>
      <c r="MHU62" s="4"/>
      <c r="MIC62" s="4"/>
      <c r="MIK62" s="4"/>
      <c r="MIS62" s="4"/>
      <c r="MJA62" s="4"/>
      <c r="MJI62" s="4"/>
      <c r="MJQ62" s="4"/>
      <c r="MJY62" s="4"/>
      <c r="MKG62" s="4"/>
      <c r="MKO62" s="4"/>
      <c r="MKW62" s="4"/>
      <c r="MLE62" s="4"/>
      <c r="MLM62" s="4"/>
      <c r="MLU62" s="4"/>
      <c r="MMC62" s="4"/>
      <c r="MMK62" s="4"/>
      <c r="MMS62" s="4"/>
      <c r="MNA62" s="4"/>
      <c r="MNI62" s="4"/>
      <c r="MNQ62" s="4"/>
      <c r="MNY62" s="4"/>
      <c r="MOG62" s="4"/>
      <c r="MOO62" s="4"/>
      <c r="MOW62" s="4"/>
      <c r="MPE62" s="4"/>
      <c r="MPM62" s="4"/>
      <c r="MPU62" s="4"/>
      <c r="MQC62" s="4"/>
      <c r="MQK62" s="4"/>
      <c r="MQS62" s="4"/>
      <c r="MRA62" s="4"/>
      <c r="MRI62" s="4"/>
      <c r="MRQ62" s="4"/>
      <c r="MRY62" s="4"/>
      <c r="MSG62" s="4"/>
      <c r="MSO62" s="4"/>
      <c r="MSW62" s="4"/>
      <c r="MTE62" s="4"/>
      <c r="MTM62" s="4"/>
      <c r="MTU62" s="4"/>
      <c r="MUC62" s="4"/>
      <c r="MUK62" s="4"/>
      <c r="MUS62" s="4"/>
      <c r="MVA62" s="4"/>
      <c r="MVI62" s="4"/>
      <c r="MVQ62" s="4"/>
      <c r="MVY62" s="4"/>
      <c r="MWG62" s="4"/>
      <c r="MWO62" s="4"/>
      <c r="MWW62" s="4"/>
      <c r="MXE62" s="4"/>
      <c r="MXM62" s="4"/>
      <c r="MXU62" s="4"/>
      <c r="MYC62" s="4"/>
      <c r="MYK62" s="4"/>
      <c r="MYS62" s="4"/>
      <c r="MZA62" s="4"/>
      <c r="MZI62" s="4"/>
      <c r="MZQ62" s="4"/>
      <c r="MZY62" s="4"/>
      <c r="NAG62" s="4"/>
      <c r="NAO62" s="4"/>
      <c r="NAW62" s="4"/>
      <c r="NBE62" s="4"/>
      <c r="NBM62" s="4"/>
      <c r="NBU62" s="4"/>
      <c r="NCC62" s="4"/>
      <c r="NCK62" s="4"/>
      <c r="NCS62" s="4"/>
      <c r="NDA62" s="4"/>
      <c r="NDI62" s="4"/>
      <c r="NDQ62" s="4"/>
      <c r="NDY62" s="4"/>
      <c r="NEG62" s="4"/>
      <c r="NEO62" s="4"/>
      <c r="NEW62" s="4"/>
      <c r="NFE62" s="4"/>
      <c r="NFM62" s="4"/>
      <c r="NFU62" s="4"/>
      <c r="NGC62" s="4"/>
      <c r="NGK62" s="4"/>
      <c r="NGS62" s="4"/>
      <c r="NHA62" s="4"/>
      <c r="NHI62" s="4"/>
      <c r="NHQ62" s="4"/>
      <c r="NHY62" s="4"/>
      <c r="NIG62" s="4"/>
      <c r="NIO62" s="4"/>
      <c r="NIW62" s="4"/>
      <c r="NJE62" s="4"/>
      <c r="NJM62" s="4"/>
      <c r="NJU62" s="4"/>
      <c r="NKC62" s="4"/>
      <c r="NKK62" s="4"/>
      <c r="NKS62" s="4"/>
      <c r="NLA62" s="4"/>
      <c r="NLI62" s="4"/>
      <c r="NLQ62" s="4"/>
      <c r="NLY62" s="4"/>
      <c r="NMG62" s="4"/>
      <c r="NMO62" s="4"/>
      <c r="NMW62" s="4"/>
      <c r="NNE62" s="4"/>
      <c r="NNM62" s="4"/>
      <c r="NNU62" s="4"/>
      <c r="NOC62" s="4"/>
      <c r="NOK62" s="4"/>
      <c r="NOS62" s="4"/>
      <c r="NPA62" s="4"/>
      <c r="NPI62" s="4"/>
      <c r="NPQ62" s="4"/>
      <c r="NPY62" s="4"/>
      <c r="NQG62" s="4"/>
      <c r="NQO62" s="4"/>
      <c r="NQW62" s="4"/>
      <c r="NRE62" s="4"/>
      <c r="NRM62" s="4"/>
      <c r="NRU62" s="4"/>
      <c r="NSC62" s="4"/>
      <c r="NSK62" s="4"/>
      <c r="NSS62" s="4"/>
      <c r="NTA62" s="4"/>
      <c r="NTI62" s="4"/>
      <c r="NTQ62" s="4"/>
      <c r="NTY62" s="4"/>
      <c r="NUG62" s="4"/>
      <c r="NUO62" s="4"/>
      <c r="NUW62" s="4"/>
      <c r="NVE62" s="4"/>
      <c r="NVM62" s="4"/>
      <c r="NVU62" s="4"/>
      <c r="NWC62" s="4"/>
      <c r="NWK62" s="4"/>
      <c r="NWS62" s="4"/>
      <c r="NXA62" s="4"/>
      <c r="NXI62" s="4"/>
      <c r="NXQ62" s="4"/>
      <c r="NXY62" s="4"/>
      <c r="NYG62" s="4"/>
      <c r="NYO62" s="4"/>
      <c r="NYW62" s="4"/>
      <c r="NZE62" s="4"/>
      <c r="NZM62" s="4"/>
      <c r="NZU62" s="4"/>
      <c r="OAC62" s="4"/>
      <c r="OAK62" s="4"/>
      <c r="OAS62" s="4"/>
      <c r="OBA62" s="4"/>
      <c r="OBI62" s="4"/>
      <c r="OBQ62" s="4"/>
      <c r="OBY62" s="4"/>
      <c r="OCG62" s="4"/>
      <c r="OCO62" s="4"/>
      <c r="OCW62" s="4"/>
      <c r="ODE62" s="4"/>
      <c r="ODM62" s="4"/>
      <c r="ODU62" s="4"/>
      <c r="OEC62" s="4"/>
      <c r="OEK62" s="4"/>
      <c r="OES62" s="4"/>
      <c r="OFA62" s="4"/>
      <c r="OFI62" s="4"/>
      <c r="OFQ62" s="4"/>
      <c r="OFY62" s="4"/>
      <c r="OGG62" s="4"/>
      <c r="OGO62" s="4"/>
      <c r="OGW62" s="4"/>
      <c r="OHE62" s="4"/>
      <c r="OHM62" s="4"/>
      <c r="OHU62" s="4"/>
      <c r="OIC62" s="4"/>
      <c r="OIK62" s="4"/>
      <c r="OIS62" s="4"/>
      <c r="OJA62" s="4"/>
      <c r="OJI62" s="4"/>
      <c r="OJQ62" s="4"/>
      <c r="OJY62" s="4"/>
      <c r="OKG62" s="4"/>
      <c r="OKO62" s="4"/>
      <c r="OKW62" s="4"/>
      <c r="OLE62" s="4"/>
      <c r="OLM62" s="4"/>
      <c r="OLU62" s="4"/>
      <c r="OMC62" s="4"/>
      <c r="OMK62" s="4"/>
      <c r="OMS62" s="4"/>
      <c r="ONA62" s="4"/>
      <c r="ONI62" s="4"/>
      <c r="ONQ62" s="4"/>
      <c r="ONY62" s="4"/>
      <c r="OOG62" s="4"/>
      <c r="OOO62" s="4"/>
      <c r="OOW62" s="4"/>
      <c r="OPE62" s="4"/>
      <c r="OPM62" s="4"/>
      <c r="OPU62" s="4"/>
      <c r="OQC62" s="4"/>
      <c r="OQK62" s="4"/>
      <c r="OQS62" s="4"/>
      <c r="ORA62" s="4"/>
      <c r="ORI62" s="4"/>
      <c r="ORQ62" s="4"/>
      <c r="ORY62" s="4"/>
      <c r="OSG62" s="4"/>
      <c r="OSO62" s="4"/>
      <c r="OSW62" s="4"/>
      <c r="OTE62" s="4"/>
      <c r="OTM62" s="4"/>
      <c r="OTU62" s="4"/>
      <c r="OUC62" s="4"/>
      <c r="OUK62" s="4"/>
      <c r="OUS62" s="4"/>
      <c r="OVA62" s="4"/>
      <c r="OVI62" s="4"/>
      <c r="OVQ62" s="4"/>
      <c r="OVY62" s="4"/>
      <c r="OWG62" s="4"/>
      <c r="OWO62" s="4"/>
      <c r="OWW62" s="4"/>
      <c r="OXE62" s="4"/>
      <c r="OXM62" s="4"/>
      <c r="OXU62" s="4"/>
      <c r="OYC62" s="4"/>
      <c r="OYK62" s="4"/>
      <c r="OYS62" s="4"/>
      <c r="OZA62" s="4"/>
      <c r="OZI62" s="4"/>
      <c r="OZQ62" s="4"/>
      <c r="OZY62" s="4"/>
      <c r="PAG62" s="4"/>
      <c r="PAO62" s="4"/>
      <c r="PAW62" s="4"/>
      <c r="PBE62" s="4"/>
      <c r="PBM62" s="4"/>
      <c r="PBU62" s="4"/>
      <c r="PCC62" s="4"/>
      <c r="PCK62" s="4"/>
      <c r="PCS62" s="4"/>
      <c r="PDA62" s="4"/>
      <c r="PDI62" s="4"/>
      <c r="PDQ62" s="4"/>
      <c r="PDY62" s="4"/>
      <c r="PEG62" s="4"/>
      <c r="PEO62" s="4"/>
      <c r="PEW62" s="4"/>
      <c r="PFE62" s="4"/>
      <c r="PFM62" s="4"/>
      <c r="PFU62" s="4"/>
      <c r="PGC62" s="4"/>
      <c r="PGK62" s="4"/>
      <c r="PGS62" s="4"/>
      <c r="PHA62" s="4"/>
      <c r="PHI62" s="4"/>
      <c r="PHQ62" s="4"/>
      <c r="PHY62" s="4"/>
      <c r="PIG62" s="4"/>
      <c r="PIO62" s="4"/>
      <c r="PIW62" s="4"/>
      <c r="PJE62" s="4"/>
      <c r="PJM62" s="4"/>
      <c r="PJU62" s="4"/>
      <c r="PKC62" s="4"/>
      <c r="PKK62" s="4"/>
      <c r="PKS62" s="4"/>
      <c r="PLA62" s="4"/>
      <c r="PLI62" s="4"/>
      <c r="PLQ62" s="4"/>
      <c r="PLY62" s="4"/>
      <c r="PMG62" s="4"/>
      <c r="PMO62" s="4"/>
      <c r="PMW62" s="4"/>
      <c r="PNE62" s="4"/>
      <c r="PNM62" s="4"/>
      <c r="PNU62" s="4"/>
      <c r="POC62" s="4"/>
      <c r="POK62" s="4"/>
      <c r="POS62" s="4"/>
      <c r="PPA62" s="4"/>
      <c r="PPI62" s="4"/>
      <c r="PPQ62" s="4"/>
      <c r="PPY62" s="4"/>
      <c r="PQG62" s="4"/>
      <c r="PQO62" s="4"/>
      <c r="PQW62" s="4"/>
      <c r="PRE62" s="4"/>
      <c r="PRM62" s="4"/>
      <c r="PRU62" s="4"/>
      <c r="PSC62" s="4"/>
      <c r="PSK62" s="4"/>
      <c r="PSS62" s="4"/>
      <c r="PTA62" s="4"/>
      <c r="PTI62" s="4"/>
      <c r="PTQ62" s="4"/>
      <c r="PTY62" s="4"/>
      <c r="PUG62" s="4"/>
      <c r="PUO62" s="4"/>
      <c r="PUW62" s="4"/>
      <c r="PVE62" s="4"/>
      <c r="PVM62" s="4"/>
      <c r="PVU62" s="4"/>
      <c r="PWC62" s="4"/>
      <c r="PWK62" s="4"/>
      <c r="PWS62" s="4"/>
      <c r="PXA62" s="4"/>
      <c r="PXI62" s="4"/>
      <c r="PXQ62" s="4"/>
      <c r="PXY62" s="4"/>
      <c r="PYG62" s="4"/>
      <c r="PYO62" s="4"/>
      <c r="PYW62" s="4"/>
      <c r="PZE62" s="4"/>
      <c r="PZM62" s="4"/>
      <c r="PZU62" s="4"/>
      <c r="QAC62" s="4"/>
      <c r="QAK62" s="4"/>
      <c r="QAS62" s="4"/>
      <c r="QBA62" s="4"/>
      <c r="QBI62" s="4"/>
      <c r="QBQ62" s="4"/>
      <c r="QBY62" s="4"/>
      <c r="QCG62" s="4"/>
      <c r="QCO62" s="4"/>
      <c r="QCW62" s="4"/>
      <c r="QDE62" s="4"/>
      <c r="QDM62" s="4"/>
      <c r="QDU62" s="4"/>
      <c r="QEC62" s="4"/>
      <c r="QEK62" s="4"/>
      <c r="QES62" s="4"/>
      <c r="QFA62" s="4"/>
      <c r="QFI62" s="4"/>
      <c r="QFQ62" s="4"/>
      <c r="QFY62" s="4"/>
      <c r="QGG62" s="4"/>
      <c r="QGO62" s="4"/>
      <c r="QGW62" s="4"/>
      <c r="QHE62" s="4"/>
      <c r="QHM62" s="4"/>
      <c r="QHU62" s="4"/>
      <c r="QIC62" s="4"/>
      <c r="QIK62" s="4"/>
      <c r="QIS62" s="4"/>
      <c r="QJA62" s="4"/>
      <c r="QJI62" s="4"/>
      <c r="QJQ62" s="4"/>
      <c r="QJY62" s="4"/>
      <c r="QKG62" s="4"/>
      <c r="QKO62" s="4"/>
      <c r="QKW62" s="4"/>
      <c r="QLE62" s="4"/>
      <c r="QLM62" s="4"/>
      <c r="QLU62" s="4"/>
      <c r="QMC62" s="4"/>
      <c r="QMK62" s="4"/>
      <c r="QMS62" s="4"/>
      <c r="QNA62" s="4"/>
      <c r="QNI62" s="4"/>
      <c r="QNQ62" s="4"/>
      <c r="QNY62" s="4"/>
      <c r="QOG62" s="4"/>
      <c r="QOO62" s="4"/>
      <c r="QOW62" s="4"/>
      <c r="QPE62" s="4"/>
      <c r="QPM62" s="4"/>
      <c r="QPU62" s="4"/>
      <c r="QQC62" s="4"/>
      <c r="QQK62" s="4"/>
      <c r="QQS62" s="4"/>
      <c r="QRA62" s="4"/>
      <c r="QRI62" s="4"/>
      <c r="QRQ62" s="4"/>
      <c r="QRY62" s="4"/>
      <c r="QSG62" s="4"/>
      <c r="QSO62" s="4"/>
      <c r="QSW62" s="4"/>
      <c r="QTE62" s="4"/>
      <c r="QTM62" s="4"/>
      <c r="QTU62" s="4"/>
      <c r="QUC62" s="4"/>
      <c r="QUK62" s="4"/>
      <c r="QUS62" s="4"/>
      <c r="QVA62" s="4"/>
      <c r="QVI62" s="4"/>
      <c r="QVQ62" s="4"/>
      <c r="QVY62" s="4"/>
      <c r="QWG62" s="4"/>
      <c r="QWO62" s="4"/>
      <c r="QWW62" s="4"/>
      <c r="QXE62" s="4"/>
      <c r="QXM62" s="4"/>
      <c r="QXU62" s="4"/>
      <c r="QYC62" s="4"/>
      <c r="QYK62" s="4"/>
      <c r="QYS62" s="4"/>
      <c r="QZA62" s="4"/>
      <c r="QZI62" s="4"/>
      <c r="QZQ62" s="4"/>
      <c r="QZY62" s="4"/>
      <c r="RAG62" s="4"/>
      <c r="RAO62" s="4"/>
      <c r="RAW62" s="4"/>
      <c r="RBE62" s="4"/>
      <c r="RBM62" s="4"/>
      <c r="RBU62" s="4"/>
      <c r="RCC62" s="4"/>
      <c r="RCK62" s="4"/>
      <c r="RCS62" s="4"/>
      <c r="RDA62" s="4"/>
      <c r="RDI62" s="4"/>
      <c r="RDQ62" s="4"/>
      <c r="RDY62" s="4"/>
      <c r="REG62" s="4"/>
      <c r="REO62" s="4"/>
      <c r="REW62" s="4"/>
      <c r="RFE62" s="4"/>
      <c r="RFM62" s="4"/>
      <c r="RFU62" s="4"/>
      <c r="RGC62" s="4"/>
      <c r="RGK62" s="4"/>
      <c r="RGS62" s="4"/>
      <c r="RHA62" s="4"/>
      <c r="RHI62" s="4"/>
      <c r="RHQ62" s="4"/>
      <c r="RHY62" s="4"/>
      <c r="RIG62" s="4"/>
      <c r="RIO62" s="4"/>
      <c r="RIW62" s="4"/>
      <c r="RJE62" s="4"/>
      <c r="RJM62" s="4"/>
      <c r="RJU62" s="4"/>
      <c r="RKC62" s="4"/>
      <c r="RKK62" s="4"/>
      <c r="RKS62" s="4"/>
      <c r="RLA62" s="4"/>
      <c r="RLI62" s="4"/>
      <c r="RLQ62" s="4"/>
      <c r="RLY62" s="4"/>
      <c r="RMG62" s="4"/>
      <c r="RMO62" s="4"/>
      <c r="RMW62" s="4"/>
      <c r="RNE62" s="4"/>
      <c r="RNM62" s="4"/>
      <c r="RNU62" s="4"/>
      <c r="ROC62" s="4"/>
      <c r="ROK62" s="4"/>
      <c r="ROS62" s="4"/>
      <c r="RPA62" s="4"/>
      <c r="RPI62" s="4"/>
      <c r="RPQ62" s="4"/>
      <c r="RPY62" s="4"/>
      <c r="RQG62" s="4"/>
      <c r="RQO62" s="4"/>
      <c r="RQW62" s="4"/>
      <c r="RRE62" s="4"/>
      <c r="RRM62" s="4"/>
      <c r="RRU62" s="4"/>
      <c r="RSC62" s="4"/>
      <c r="RSK62" s="4"/>
      <c r="RSS62" s="4"/>
      <c r="RTA62" s="4"/>
      <c r="RTI62" s="4"/>
      <c r="RTQ62" s="4"/>
      <c r="RTY62" s="4"/>
      <c r="RUG62" s="4"/>
      <c r="RUO62" s="4"/>
      <c r="RUW62" s="4"/>
      <c r="RVE62" s="4"/>
      <c r="RVM62" s="4"/>
      <c r="RVU62" s="4"/>
      <c r="RWC62" s="4"/>
      <c r="RWK62" s="4"/>
      <c r="RWS62" s="4"/>
      <c r="RXA62" s="4"/>
      <c r="RXI62" s="4"/>
      <c r="RXQ62" s="4"/>
      <c r="RXY62" s="4"/>
      <c r="RYG62" s="4"/>
      <c r="RYO62" s="4"/>
      <c r="RYW62" s="4"/>
      <c r="RZE62" s="4"/>
      <c r="RZM62" s="4"/>
      <c r="RZU62" s="4"/>
      <c r="SAC62" s="4"/>
      <c r="SAK62" s="4"/>
      <c r="SAS62" s="4"/>
      <c r="SBA62" s="4"/>
      <c r="SBI62" s="4"/>
      <c r="SBQ62" s="4"/>
      <c r="SBY62" s="4"/>
      <c r="SCG62" s="4"/>
      <c r="SCO62" s="4"/>
      <c r="SCW62" s="4"/>
      <c r="SDE62" s="4"/>
      <c r="SDM62" s="4"/>
      <c r="SDU62" s="4"/>
      <c r="SEC62" s="4"/>
      <c r="SEK62" s="4"/>
      <c r="SES62" s="4"/>
      <c r="SFA62" s="4"/>
      <c r="SFI62" s="4"/>
      <c r="SFQ62" s="4"/>
      <c r="SFY62" s="4"/>
      <c r="SGG62" s="4"/>
      <c r="SGO62" s="4"/>
      <c r="SGW62" s="4"/>
      <c r="SHE62" s="4"/>
      <c r="SHM62" s="4"/>
      <c r="SHU62" s="4"/>
      <c r="SIC62" s="4"/>
      <c r="SIK62" s="4"/>
      <c r="SIS62" s="4"/>
      <c r="SJA62" s="4"/>
      <c r="SJI62" s="4"/>
      <c r="SJQ62" s="4"/>
      <c r="SJY62" s="4"/>
      <c r="SKG62" s="4"/>
      <c r="SKO62" s="4"/>
      <c r="SKW62" s="4"/>
      <c r="SLE62" s="4"/>
      <c r="SLM62" s="4"/>
      <c r="SLU62" s="4"/>
      <c r="SMC62" s="4"/>
      <c r="SMK62" s="4"/>
      <c r="SMS62" s="4"/>
      <c r="SNA62" s="4"/>
      <c r="SNI62" s="4"/>
      <c r="SNQ62" s="4"/>
      <c r="SNY62" s="4"/>
      <c r="SOG62" s="4"/>
      <c r="SOO62" s="4"/>
      <c r="SOW62" s="4"/>
      <c r="SPE62" s="4"/>
      <c r="SPM62" s="4"/>
      <c r="SPU62" s="4"/>
      <c r="SQC62" s="4"/>
      <c r="SQK62" s="4"/>
      <c r="SQS62" s="4"/>
      <c r="SRA62" s="4"/>
      <c r="SRI62" s="4"/>
      <c r="SRQ62" s="4"/>
      <c r="SRY62" s="4"/>
      <c r="SSG62" s="4"/>
      <c r="SSO62" s="4"/>
      <c r="SSW62" s="4"/>
      <c r="STE62" s="4"/>
      <c r="STM62" s="4"/>
      <c r="STU62" s="4"/>
      <c r="SUC62" s="4"/>
      <c r="SUK62" s="4"/>
      <c r="SUS62" s="4"/>
      <c r="SVA62" s="4"/>
      <c r="SVI62" s="4"/>
      <c r="SVQ62" s="4"/>
      <c r="SVY62" s="4"/>
      <c r="SWG62" s="4"/>
      <c r="SWO62" s="4"/>
      <c r="SWW62" s="4"/>
      <c r="SXE62" s="4"/>
      <c r="SXM62" s="4"/>
      <c r="SXU62" s="4"/>
      <c r="SYC62" s="4"/>
      <c r="SYK62" s="4"/>
      <c r="SYS62" s="4"/>
      <c r="SZA62" s="4"/>
      <c r="SZI62" s="4"/>
      <c r="SZQ62" s="4"/>
      <c r="SZY62" s="4"/>
      <c r="TAG62" s="4"/>
      <c r="TAO62" s="4"/>
      <c r="TAW62" s="4"/>
      <c r="TBE62" s="4"/>
      <c r="TBM62" s="4"/>
      <c r="TBU62" s="4"/>
      <c r="TCC62" s="4"/>
      <c r="TCK62" s="4"/>
      <c r="TCS62" s="4"/>
      <c r="TDA62" s="4"/>
      <c r="TDI62" s="4"/>
      <c r="TDQ62" s="4"/>
      <c r="TDY62" s="4"/>
      <c r="TEG62" s="4"/>
      <c r="TEO62" s="4"/>
      <c r="TEW62" s="4"/>
      <c r="TFE62" s="4"/>
      <c r="TFM62" s="4"/>
      <c r="TFU62" s="4"/>
      <c r="TGC62" s="4"/>
      <c r="TGK62" s="4"/>
      <c r="TGS62" s="4"/>
      <c r="THA62" s="4"/>
      <c r="THI62" s="4"/>
      <c r="THQ62" s="4"/>
      <c r="THY62" s="4"/>
      <c r="TIG62" s="4"/>
      <c r="TIO62" s="4"/>
      <c r="TIW62" s="4"/>
      <c r="TJE62" s="4"/>
      <c r="TJM62" s="4"/>
      <c r="TJU62" s="4"/>
      <c r="TKC62" s="4"/>
      <c r="TKK62" s="4"/>
      <c r="TKS62" s="4"/>
      <c r="TLA62" s="4"/>
      <c r="TLI62" s="4"/>
      <c r="TLQ62" s="4"/>
      <c r="TLY62" s="4"/>
      <c r="TMG62" s="4"/>
      <c r="TMO62" s="4"/>
      <c r="TMW62" s="4"/>
      <c r="TNE62" s="4"/>
      <c r="TNM62" s="4"/>
      <c r="TNU62" s="4"/>
      <c r="TOC62" s="4"/>
      <c r="TOK62" s="4"/>
      <c r="TOS62" s="4"/>
      <c r="TPA62" s="4"/>
      <c r="TPI62" s="4"/>
      <c r="TPQ62" s="4"/>
      <c r="TPY62" s="4"/>
      <c r="TQG62" s="4"/>
      <c r="TQO62" s="4"/>
      <c r="TQW62" s="4"/>
      <c r="TRE62" s="4"/>
      <c r="TRM62" s="4"/>
      <c r="TRU62" s="4"/>
      <c r="TSC62" s="4"/>
      <c r="TSK62" s="4"/>
      <c r="TSS62" s="4"/>
      <c r="TTA62" s="4"/>
      <c r="TTI62" s="4"/>
      <c r="TTQ62" s="4"/>
      <c r="TTY62" s="4"/>
      <c r="TUG62" s="4"/>
      <c r="TUO62" s="4"/>
      <c r="TUW62" s="4"/>
      <c r="TVE62" s="4"/>
      <c r="TVM62" s="4"/>
      <c r="TVU62" s="4"/>
      <c r="TWC62" s="4"/>
      <c r="TWK62" s="4"/>
      <c r="TWS62" s="4"/>
      <c r="TXA62" s="4"/>
      <c r="TXI62" s="4"/>
      <c r="TXQ62" s="4"/>
      <c r="TXY62" s="4"/>
      <c r="TYG62" s="4"/>
      <c r="TYO62" s="4"/>
      <c r="TYW62" s="4"/>
      <c r="TZE62" s="4"/>
      <c r="TZM62" s="4"/>
      <c r="TZU62" s="4"/>
      <c r="UAC62" s="4"/>
      <c r="UAK62" s="4"/>
      <c r="UAS62" s="4"/>
      <c r="UBA62" s="4"/>
      <c r="UBI62" s="4"/>
      <c r="UBQ62" s="4"/>
      <c r="UBY62" s="4"/>
      <c r="UCG62" s="4"/>
      <c r="UCO62" s="4"/>
      <c r="UCW62" s="4"/>
      <c r="UDE62" s="4"/>
      <c r="UDM62" s="4"/>
      <c r="UDU62" s="4"/>
      <c r="UEC62" s="4"/>
      <c r="UEK62" s="4"/>
      <c r="UES62" s="4"/>
      <c r="UFA62" s="4"/>
      <c r="UFI62" s="4"/>
      <c r="UFQ62" s="4"/>
      <c r="UFY62" s="4"/>
      <c r="UGG62" s="4"/>
      <c r="UGO62" s="4"/>
      <c r="UGW62" s="4"/>
      <c r="UHE62" s="4"/>
      <c r="UHM62" s="4"/>
      <c r="UHU62" s="4"/>
      <c r="UIC62" s="4"/>
      <c r="UIK62" s="4"/>
      <c r="UIS62" s="4"/>
      <c r="UJA62" s="4"/>
      <c r="UJI62" s="4"/>
      <c r="UJQ62" s="4"/>
      <c r="UJY62" s="4"/>
      <c r="UKG62" s="4"/>
      <c r="UKO62" s="4"/>
      <c r="UKW62" s="4"/>
      <c r="ULE62" s="4"/>
      <c r="ULM62" s="4"/>
      <c r="ULU62" s="4"/>
      <c r="UMC62" s="4"/>
      <c r="UMK62" s="4"/>
      <c r="UMS62" s="4"/>
      <c r="UNA62" s="4"/>
      <c r="UNI62" s="4"/>
      <c r="UNQ62" s="4"/>
      <c r="UNY62" s="4"/>
      <c r="UOG62" s="4"/>
      <c r="UOO62" s="4"/>
      <c r="UOW62" s="4"/>
      <c r="UPE62" s="4"/>
      <c r="UPM62" s="4"/>
      <c r="UPU62" s="4"/>
      <c r="UQC62" s="4"/>
      <c r="UQK62" s="4"/>
      <c r="UQS62" s="4"/>
      <c r="URA62" s="4"/>
      <c r="URI62" s="4"/>
      <c r="URQ62" s="4"/>
      <c r="URY62" s="4"/>
      <c r="USG62" s="4"/>
      <c r="USO62" s="4"/>
      <c r="USW62" s="4"/>
      <c r="UTE62" s="4"/>
      <c r="UTM62" s="4"/>
      <c r="UTU62" s="4"/>
      <c r="UUC62" s="4"/>
      <c r="UUK62" s="4"/>
      <c r="UUS62" s="4"/>
      <c r="UVA62" s="4"/>
      <c r="UVI62" s="4"/>
      <c r="UVQ62" s="4"/>
      <c r="UVY62" s="4"/>
      <c r="UWG62" s="4"/>
      <c r="UWO62" s="4"/>
      <c r="UWW62" s="4"/>
      <c r="UXE62" s="4"/>
      <c r="UXM62" s="4"/>
      <c r="UXU62" s="4"/>
      <c r="UYC62" s="4"/>
      <c r="UYK62" s="4"/>
      <c r="UYS62" s="4"/>
      <c r="UZA62" s="4"/>
      <c r="UZI62" s="4"/>
      <c r="UZQ62" s="4"/>
      <c r="UZY62" s="4"/>
      <c r="VAG62" s="4"/>
      <c r="VAO62" s="4"/>
      <c r="VAW62" s="4"/>
      <c r="VBE62" s="4"/>
      <c r="VBM62" s="4"/>
      <c r="VBU62" s="4"/>
      <c r="VCC62" s="4"/>
      <c r="VCK62" s="4"/>
      <c r="VCS62" s="4"/>
      <c r="VDA62" s="4"/>
      <c r="VDI62" s="4"/>
      <c r="VDQ62" s="4"/>
      <c r="VDY62" s="4"/>
      <c r="VEG62" s="4"/>
      <c r="VEO62" s="4"/>
      <c r="VEW62" s="4"/>
      <c r="VFE62" s="4"/>
      <c r="VFM62" s="4"/>
      <c r="VFU62" s="4"/>
      <c r="VGC62" s="4"/>
      <c r="VGK62" s="4"/>
      <c r="VGS62" s="4"/>
      <c r="VHA62" s="4"/>
      <c r="VHI62" s="4"/>
      <c r="VHQ62" s="4"/>
      <c r="VHY62" s="4"/>
      <c r="VIG62" s="4"/>
      <c r="VIO62" s="4"/>
      <c r="VIW62" s="4"/>
      <c r="VJE62" s="4"/>
      <c r="VJM62" s="4"/>
      <c r="VJU62" s="4"/>
      <c r="VKC62" s="4"/>
      <c r="VKK62" s="4"/>
      <c r="VKS62" s="4"/>
      <c r="VLA62" s="4"/>
      <c r="VLI62" s="4"/>
      <c r="VLQ62" s="4"/>
      <c r="VLY62" s="4"/>
      <c r="VMG62" s="4"/>
      <c r="VMO62" s="4"/>
      <c r="VMW62" s="4"/>
      <c r="VNE62" s="4"/>
      <c r="VNM62" s="4"/>
      <c r="VNU62" s="4"/>
      <c r="VOC62" s="4"/>
      <c r="VOK62" s="4"/>
      <c r="VOS62" s="4"/>
      <c r="VPA62" s="4"/>
      <c r="VPI62" s="4"/>
      <c r="VPQ62" s="4"/>
      <c r="VPY62" s="4"/>
      <c r="VQG62" s="4"/>
      <c r="VQO62" s="4"/>
      <c r="VQW62" s="4"/>
      <c r="VRE62" s="4"/>
      <c r="VRM62" s="4"/>
      <c r="VRU62" s="4"/>
      <c r="VSC62" s="4"/>
      <c r="VSK62" s="4"/>
      <c r="VSS62" s="4"/>
      <c r="VTA62" s="4"/>
      <c r="VTI62" s="4"/>
      <c r="VTQ62" s="4"/>
      <c r="VTY62" s="4"/>
      <c r="VUG62" s="4"/>
      <c r="VUO62" s="4"/>
      <c r="VUW62" s="4"/>
      <c r="VVE62" s="4"/>
      <c r="VVM62" s="4"/>
      <c r="VVU62" s="4"/>
      <c r="VWC62" s="4"/>
      <c r="VWK62" s="4"/>
      <c r="VWS62" s="4"/>
      <c r="VXA62" s="4"/>
      <c r="VXI62" s="4"/>
      <c r="VXQ62" s="4"/>
      <c r="VXY62" s="4"/>
      <c r="VYG62" s="4"/>
      <c r="VYO62" s="4"/>
      <c r="VYW62" s="4"/>
      <c r="VZE62" s="4"/>
      <c r="VZM62" s="4"/>
      <c r="VZU62" s="4"/>
      <c r="WAC62" s="4"/>
      <c r="WAK62" s="4"/>
      <c r="WAS62" s="4"/>
      <c r="WBA62" s="4"/>
      <c r="WBI62" s="4"/>
      <c r="WBQ62" s="4"/>
      <c r="WBY62" s="4"/>
      <c r="WCG62" s="4"/>
      <c r="WCO62" s="4"/>
      <c r="WCW62" s="4"/>
      <c r="WDE62" s="4"/>
      <c r="WDM62" s="4"/>
      <c r="WDU62" s="4"/>
      <c r="WEC62" s="4"/>
      <c r="WEK62" s="4"/>
      <c r="WES62" s="4"/>
      <c r="WFA62" s="4"/>
      <c r="WFI62" s="4"/>
      <c r="WFQ62" s="4"/>
      <c r="WFY62" s="4"/>
      <c r="WGG62" s="4"/>
      <c r="WGO62" s="4"/>
      <c r="WGW62" s="4"/>
      <c r="WHE62" s="4"/>
      <c r="WHM62" s="4"/>
      <c r="WHU62" s="4"/>
      <c r="WIC62" s="4"/>
      <c r="WIK62" s="4"/>
      <c r="WIS62" s="4"/>
      <c r="WJA62" s="4"/>
      <c r="WJI62" s="4"/>
      <c r="WJQ62" s="4"/>
      <c r="WJY62" s="4"/>
      <c r="WKG62" s="4"/>
      <c r="WKO62" s="4"/>
      <c r="WKW62" s="4"/>
      <c r="WLE62" s="4"/>
      <c r="WLM62" s="4"/>
      <c r="WLU62" s="4"/>
      <c r="WMC62" s="4"/>
      <c r="WMK62" s="4"/>
      <c r="WMS62" s="4"/>
      <c r="WNA62" s="4"/>
      <c r="WNI62" s="4"/>
      <c r="WNQ62" s="4"/>
      <c r="WNY62" s="4"/>
      <c r="WOG62" s="4"/>
      <c r="WOO62" s="4"/>
      <c r="WOW62" s="4"/>
      <c r="WPE62" s="4"/>
      <c r="WPM62" s="4"/>
      <c r="WPU62" s="4"/>
      <c r="WQC62" s="4"/>
      <c r="WQK62" s="4"/>
      <c r="WQS62" s="4"/>
      <c r="WRA62" s="4"/>
      <c r="WRI62" s="4"/>
      <c r="WRQ62" s="4"/>
      <c r="WRY62" s="4"/>
      <c r="WSG62" s="4"/>
      <c r="WSO62" s="4"/>
      <c r="WSW62" s="4"/>
      <c r="WTE62" s="4"/>
      <c r="WTM62" s="4"/>
      <c r="WTU62" s="4"/>
      <c r="WUC62" s="4"/>
      <c r="WUK62" s="4"/>
      <c r="WUS62" s="4"/>
      <c r="WVA62" s="4"/>
      <c r="WVI62" s="4"/>
      <c r="WVQ62" s="4"/>
      <c r="WVY62" s="4"/>
      <c r="WWG62" s="4"/>
      <c r="WWO62" s="4"/>
      <c r="WWW62" s="4"/>
      <c r="WXE62" s="4"/>
      <c r="WXM62" s="4"/>
      <c r="WXU62" s="4"/>
      <c r="WYC62" s="4"/>
      <c r="WYK62" s="4"/>
      <c r="WYS62" s="4"/>
      <c r="WZA62" s="4"/>
      <c r="WZI62" s="4"/>
      <c r="WZQ62" s="4"/>
      <c r="WZY62" s="4"/>
      <c r="XAG62" s="4"/>
      <c r="XAO62" s="4"/>
      <c r="XAW62" s="4"/>
      <c r="XBE62" s="4"/>
      <c r="XBM62" s="4"/>
      <c r="XBU62" s="4"/>
      <c r="XCC62" s="4"/>
      <c r="XCK62" s="4"/>
      <c r="XCS62" s="4"/>
      <c r="XDA62" s="4"/>
      <c r="XDI62" s="4"/>
      <c r="XDQ62" s="4"/>
      <c r="XDY62" s="4"/>
      <c r="XEG62" s="4"/>
      <c r="XEO62" s="4"/>
      <c r="XEW62" s="4"/>
    </row>
    <row r="63" spans="1:1017 1025:2041 2049:3065 3073:4089 4097:5113 5121:6137 6145:7161 7169:8185 8193:9209 9217:10233 10241:11257 11265:12281 12289:13305 13313:14329 14337:15353 15361:16377" ht="16.5" x14ac:dyDescent="0.45">
      <c r="A63" s="4"/>
      <c r="B63" s="4" t="s">
        <v>100</v>
      </c>
      <c r="C63" s="1">
        <f>L66*L67*L68*L69*SQRT((C49*(G7+1))/(C34*C21*G7))</f>
        <v>805.37955822486776</v>
      </c>
      <c r="D63" s="1" t="s">
        <v>19</v>
      </c>
      <c r="Q63" s="4"/>
      <c r="Y63" s="4"/>
      <c r="AG63" s="4"/>
      <c r="AO63" s="4"/>
      <c r="AW63" s="4"/>
      <c r="BE63" s="4"/>
      <c r="BM63" s="4"/>
      <c r="BU63" s="4"/>
      <c r="CC63" s="4"/>
      <c r="CK63" s="4"/>
      <c r="CS63" s="4"/>
      <c r="DA63" s="4"/>
      <c r="DI63" s="4"/>
      <c r="DQ63" s="4"/>
      <c r="DY63" s="4"/>
      <c r="EG63" s="4"/>
      <c r="EO63" s="4"/>
      <c r="EW63" s="4"/>
      <c r="FE63" s="4"/>
      <c r="FM63" s="4"/>
      <c r="FU63" s="4"/>
      <c r="GC63" s="4"/>
      <c r="GK63" s="4"/>
      <c r="GS63" s="4"/>
      <c r="HA63" s="4"/>
      <c r="HI63" s="4"/>
      <c r="HQ63" s="4"/>
      <c r="HY63" s="4"/>
      <c r="IG63" s="4"/>
      <c r="IO63" s="4"/>
      <c r="IW63" s="4"/>
      <c r="JE63" s="4"/>
      <c r="JM63" s="4"/>
      <c r="JU63" s="4"/>
      <c r="KC63" s="4"/>
      <c r="KK63" s="4"/>
      <c r="KS63" s="4"/>
      <c r="LA63" s="4"/>
      <c r="LI63" s="4"/>
      <c r="LQ63" s="4"/>
      <c r="LY63" s="4"/>
      <c r="MG63" s="4"/>
      <c r="MO63" s="4"/>
      <c r="MW63" s="4"/>
      <c r="NE63" s="4"/>
      <c r="NM63" s="4"/>
      <c r="NU63" s="4"/>
      <c r="OC63" s="4"/>
      <c r="OK63" s="4"/>
      <c r="OS63" s="4"/>
      <c r="PA63" s="4"/>
      <c r="PI63" s="4"/>
      <c r="PQ63" s="4"/>
      <c r="PY63" s="4"/>
      <c r="QG63" s="4"/>
      <c r="QO63" s="4"/>
      <c r="QW63" s="4"/>
      <c r="RE63" s="4"/>
      <c r="RM63" s="4"/>
      <c r="RU63" s="4"/>
      <c r="SC63" s="4"/>
      <c r="SK63" s="4"/>
      <c r="SS63" s="4"/>
      <c r="TA63" s="4"/>
      <c r="TI63" s="4"/>
      <c r="TQ63" s="4"/>
      <c r="TY63" s="4"/>
      <c r="UG63" s="4"/>
      <c r="UO63" s="4"/>
      <c r="UW63" s="4"/>
      <c r="VE63" s="4"/>
      <c r="VM63" s="4"/>
      <c r="VU63" s="4"/>
      <c r="WC63" s="4"/>
      <c r="WK63" s="4"/>
      <c r="WS63" s="4"/>
      <c r="XA63" s="4"/>
      <c r="XI63" s="4"/>
      <c r="XQ63" s="4"/>
      <c r="XY63" s="4"/>
      <c r="YG63" s="4"/>
      <c r="YO63" s="4"/>
      <c r="YW63" s="4"/>
      <c r="ZE63" s="4"/>
      <c r="ZM63" s="4"/>
      <c r="ZU63" s="4"/>
      <c r="AAC63" s="4"/>
      <c r="AAK63" s="4"/>
      <c r="AAS63" s="4"/>
      <c r="ABA63" s="4"/>
      <c r="ABI63" s="4"/>
      <c r="ABQ63" s="4"/>
      <c r="ABY63" s="4"/>
      <c r="ACG63" s="4"/>
      <c r="ACO63" s="4"/>
      <c r="ACW63" s="4"/>
      <c r="ADE63" s="4"/>
      <c r="ADM63" s="4"/>
      <c r="ADU63" s="4"/>
      <c r="AEC63" s="4"/>
      <c r="AEK63" s="4"/>
      <c r="AES63" s="4"/>
      <c r="AFA63" s="4"/>
      <c r="AFI63" s="4"/>
      <c r="AFQ63" s="4"/>
      <c r="AFY63" s="4"/>
      <c r="AGG63" s="4"/>
      <c r="AGO63" s="4"/>
      <c r="AGW63" s="4"/>
      <c r="AHE63" s="4"/>
      <c r="AHM63" s="4"/>
      <c r="AHU63" s="4"/>
      <c r="AIC63" s="4"/>
      <c r="AIK63" s="4"/>
      <c r="AIS63" s="4"/>
      <c r="AJA63" s="4"/>
      <c r="AJI63" s="4"/>
      <c r="AJQ63" s="4"/>
      <c r="AJY63" s="4"/>
      <c r="AKG63" s="4"/>
      <c r="AKO63" s="4"/>
      <c r="AKW63" s="4"/>
      <c r="ALE63" s="4"/>
      <c r="ALM63" s="4"/>
      <c r="ALU63" s="4"/>
      <c r="AMC63" s="4"/>
      <c r="AMK63" s="4"/>
      <c r="AMS63" s="4"/>
      <c r="ANA63" s="4"/>
      <c r="ANI63" s="4"/>
      <c r="ANQ63" s="4"/>
      <c r="ANY63" s="4"/>
      <c r="AOG63" s="4"/>
      <c r="AOO63" s="4"/>
      <c r="AOW63" s="4"/>
      <c r="APE63" s="4"/>
      <c r="APM63" s="4"/>
      <c r="APU63" s="4"/>
      <c r="AQC63" s="4"/>
      <c r="AQK63" s="4"/>
      <c r="AQS63" s="4"/>
      <c r="ARA63" s="4"/>
      <c r="ARI63" s="4"/>
      <c r="ARQ63" s="4"/>
      <c r="ARY63" s="4"/>
      <c r="ASG63" s="4"/>
      <c r="ASO63" s="4"/>
      <c r="ASW63" s="4"/>
      <c r="ATE63" s="4"/>
      <c r="ATM63" s="4"/>
      <c r="ATU63" s="4"/>
      <c r="AUC63" s="4"/>
      <c r="AUK63" s="4"/>
      <c r="AUS63" s="4"/>
      <c r="AVA63" s="4"/>
      <c r="AVI63" s="4"/>
      <c r="AVQ63" s="4"/>
      <c r="AVY63" s="4"/>
      <c r="AWG63" s="4"/>
      <c r="AWO63" s="4"/>
      <c r="AWW63" s="4"/>
      <c r="AXE63" s="4"/>
      <c r="AXM63" s="4"/>
      <c r="AXU63" s="4"/>
      <c r="AYC63" s="4"/>
      <c r="AYK63" s="4"/>
      <c r="AYS63" s="4"/>
      <c r="AZA63" s="4"/>
      <c r="AZI63" s="4"/>
      <c r="AZQ63" s="4"/>
      <c r="AZY63" s="4"/>
      <c r="BAG63" s="4"/>
      <c r="BAO63" s="4"/>
      <c r="BAW63" s="4"/>
      <c r="BBE63" s="4"/>
      <c r="BBM63" s="4"/>
      <c r="BBU63" s="4"/>
      <c r="BCC63" s="4"/>
      <c r="BCK63" s="4"/>
      <c r="BCS63" s="4"/>
      <c r="BDA63" s="4"/>
      <c r="BDI63" s="4"/>
      <c r="BDQ63" s="4"/>
      <c r="BDY63" s="4"/>
      <c r="BEG63" s="4"/>
      <c r="BEO63" s="4"/>
      <c r="BEW63" s="4"/>
      <c r="BFE63" s="4"/>
      <c r="BFM63" s="4"/>
      <c r="BFU63" s="4"/>
      <c r="BGC63" s="4"/>
      <c r="BGK63" s="4"/>
      <c r="BGS63" s="4"/>
      <c r="BHA63" s="4"/>
      <c r="BHI63" s="4"/>
      <c r="BHQ63" s="4"/>
      <c r="BHY63" s="4"/>
      <c r="BIG63" s="4"/>
      <c r="BIO63" s="4"/>
      <c r="BIW63" s="4"/>
      <c r="BJE63" s="4"/>
      <c r="BJM63" s="4"/>
      <c r="BJU63" s="4"/>
      <c r="BKC63" s="4"/>
      <c r="BKK63" s="4"/>
      <c r="BKS63" s="4"/>
      <c r="BLA63" s="4"/>
      <c r="BLI63" s="4"/>
      <c r="BLQ63" s="4"/>
      <c r="BLY63" s="4"/>
      <c r="BMG63" s="4"/>
      <c r="BMO63" s="4"/>
      <c r="BMW63" s="4"/>
      <c r="BNE63" s="4"/>
      <c r="BNM63" s="4"/>
      <c r="BNU63" s="4"/>
      <c r="BOC63" s="4"/>
      <c r="BOK63" s="4"/>
      <c r="BOS63" s="4"/>
      <c r="BPA63" s="4"/>
      <c r="BPI63" s="4"/>
      <c r="BPQ63" s="4"/>
      <c r="BPY63" s="4"/>
      <c r="BQG63" s="4"/>
      <c r="BQO63" s="4"/>
      <c r="BQW63" s="4"/>
      <c r="BRE63" s="4"/>
      <c r="BRM63" s="4"/>
      <c r="BRU63" s="4"/>
      <c r="BSC63" s="4"/>
      <c r="BSK63" s="4"/>
      <c r="BSS63" s="4"/>
      <c r="BTA63" s="4"/>
      <c r="BTI63" s="4"/>
      <c r="BTQ63" s="4"/>
      <c r="BTY63" s="4"/>
      <c r="BUG63" s="4"/>
      <c r="BUO63" s="4"/>
      <c r="BUW63" s="4"/>
      <c r="BVE63" s="4"/>
      <c r="BVM63" s="4"/>
      <c r="BVU63" s="4"/>
      <c r="BWC63" s="4"/>
      <c r="BWK63" s="4"/>
      <c r="BWS63" s="4"/>
      <c r="BXA63" s="4"/>
      <c r="BXI63" s="4"/>
      <c r="BXQ63" s="4"/>
      <c r="BXY63" s="4"/>
      <c r="BYG63" s="4"/>
      <c r="BYO63" s="4"/>
      <c r="BYW63" s="4"/>
      <c r="BZE63" s="4"/>
      <c r="BZM63" s="4"/>
      <c r="BZU63" s="4"/>
      <c r="CAC63" s="4"/>
      <c r="CAK63" s="4"/>
      <c r="CAS63" s="4"/>
      <c r="CBA63" s="4"/>
      <c r="CBI63" s="4"/>
      <c r="CBQ63" s="4"/>
      <c r="CBY63" s="4"/>
      <c r="CCG63" s="4"/>
      <c r="CCO63" s="4"/>
      <c r="CCW63" s="4"/>
      <c r="CDE63" s="4"/>
      <c r="CDM63" s="4"/>
      <c r="CDU63" s="4"/>
      <c r="CEC63" s="4"/>
      <c r="CEK63" s="4"/>
      <c r="CES63" s="4"/>
      <c r="CFA63" s="4"/>
      <c r="CFI63" s="4"/>
      <c r="CFQ63" s="4"/>
      <c r="CFY63" s="4"/>
      <c r="CGG63" s="4"/>
      <c r="CGO63" s="4"/>
      <c r="CGW63" s="4"/>
      <c r="CHE63" s="4"/>
      <c r="CHM63" s="4"/>
      <c r="CHU63" s="4"/>
      <c r="CIC63" s="4"/>
      <c r="CIK63" s="4"/>
      <c r="CIS63" s="4"/>
      <c r="CJA63" s="4"/>
      <c r="CJI63" s="4"/>
      <c r="CJQ63" s="4"/>
      <c r="CJY63" s="4"/>
      <c r="CKG63" s="4"/>
      <c r="CKO63" s="4"/>
      <c r="CKW63" s="4"/>
      <c r="CLE63" s="4"/>
      <c r="CLM63" s="4"/>
      <c r="CLU63" s="4"/>
      <c r="CMC63" s="4"/>
      <c r="CMK63" s="4"/>
      <c r="CMS63" s="4"/>
      <c r="CNA63" s="4"/>
      <c r="CNI63" s="4"/>
      <c r="CNQ63" s="4"/>
      <c r="CNY63" s="4"/>
      <c r="COG63" s="4"/>
      <c r="COO63" s="4"/>
      <c r="COW63" s="4"/>
      <c r="CPE63" s="4"/>
      <c r="CPM63" s="4"/>
      <c r="CPU63" s="4"/>
      <c r="CQC63" s="4"/>
      <c r="CQK63" s="4"/>
      <c r="CQS63" s="4"/>
      <c r="CRA63" s="4"/>
      <c r="CRI63" s="4"/>
      <c r="CRQ63" s="4"/>
      <c r="CRY63" s="4"/>
      <c r="CSG63" s="4"/>
      <c r="CSO63" s="4"/>
      <c r="CSW63" s="4"/>
      <c r="CTE63" s="4"/>
      <c r="CTM63" s="4"/>
      <c r="CTU63" s="4"/>
      <c r="CUC63" s="4"/>
      <c r="CUK63" s="4"/>
      <c r="CUS63" s="4"/>
      <c r="CVA63" s="4"/>
      <c r="CVI63" s="4"/>
      <c r="CVQ63" s="4"/>
      <c r="CVY63" s="4"/>
      <c r="CWG63" s="4"/>
      <c r="CWO63" s="4"/>
      <c r="CWW63" s="4"/>
      <c r="CXE63" s="4"/>
      <c r="CXM63" s="4"/>
      <c r="CXU63" s="4"/>
      <c r="CYC63" s="4"/>
      <c r="CYK63" s="4"/>
      <c r="CYS63" s="4"/>
      <c r="CZA63" s="4"/>
      <c r="CZI63" s="4"/>
      <c r="CZQ63" s="4"/>
      <c r="CZY63" s="4"/>
      <c r="DAG63" s="4"/>
      <c r="DAO63" s="4"/>
      <c r="DAW63" s="4"/>
      <c r="DBE63" s="4"/>
      <c r="DBM63" s="4"/>
      <c r="DBU63" s="4"/>
      <c r="DCC63" s="4"/>
      <c r="DCK63" s="4"/>
      <c r="DCS63" s="4"/>
      <c r="DDA63" s="4"/>
      <c r="DDI63" s="4"/>
      <c r="DDQ63" s="4"/>
      <c r="DDY63" s="4"/>
      <c r="DEG63" s="4"/>
      <c r="DEO63" s="4"/>
      <c r="DEW63" s="4"/>
      <c r="DFE63" s="4"/>
      <c r="DFM63" s="4"/>
      <c r="DFU63" s="4"/>
      <c r="DGC63" s="4"/>
      <c r="DGK63" s="4"/>
      <c r="DGS63" s="4"/>
      <c r="DHA63" s="4"/>
      <c r="DHI63" s="4"/>
      <c r="DHQ63" s="4"/>
      <c r="DHY63" s="4"/>
      <c r="DIG63" s="4"/>
      <c r="DIO63" s="4"/>
      <c r="DIW63" s="4"/>
      <c r="DJE63" s="4"/>
      <c r="DJM63" s="4"/>
      <c r="DJU63" s="4"/>
      <c r="DKC63" s="4"/>
      <c r="DKK63" s="4"/>
      <c r="DKS63" s="4"/>
      <c r="DLA63" s="4"/>
      <c r="DLI63" s="4"/>
      <c r="DLQ63" s="4"/>
      <c r="DLY63" s="4"/>
      <c r="DMG63" s="4"/>
      <c r="DMO63" s="4"/>
      <c r="DMW63" s="4"/>
      <c r="DNE63" s="4"/>
      <c r="DNM63" s="4"/>
      <c r="DNU63" s="4"/>
      <c r="DOC63" s="4"/>
      <c r="DOK63" s="4"/>
      <c r="DOS63" s="4"/>
      <c r="DPA63" s="4"/>
      <c r="DPI63" s="4"/>
      <c r="DPQ63" s="4"/>
      <c r="DPY63" s="4"/>
      <c r="DQG63" s="4"/>
      <c r="DQO63" s="4"/>
      <c r="DQW63" s="4"/>
      <c r="DRE63" s="4"/>
      <c r="DRM63" s="4"/>
      <c r="DRU63" s="4"/>
      <c r="DSC63" s="4"/>
      <c r="DSK63" s="4"/>
      <c r="DSS63" s="4"/>
      <c r="DTA63" s="4"/>
      <c r="DTI63" s="4"/>
      <c r="DTQ63" s="4"/>
      <c r="DTY63" s="4"/>
      <c r="DUG63" s="4"/>
      <c r="DUO63" s="4"/>
      <c r="DUW63" s="4"/>
      <c r="DVE63" s="4"/>
      <c r="DVM63" s="4"/>
      <c r="DVU63" s="4"/>
      <c r="DWC63" s="4"/>
      <c r="DWK63" s="4"/>
      <c r="DWS63" s="4"/>
      <c r="DXA63" s="4"/>
      <c r="DXI63" s="4"/>
      <c r="DXQ63" s="4"/>
      <c r="DXY63" s="4"/>
      <c r="DYG63" s="4"/>
      <c r="DYO63" s="4"/>
      <c r="DYW63" s="4"/>
      <c r="DZE63" s="4"/>
      <c r="DZM63" s="4"/>
      <c r="DZU63" s="4"/>
      <c r="EAC63" s="4"/>
      <c r="EAK63" s="4"/>
      <c r="EAS63" s="4"/>
      <c r="EBA63" s="4"/>
      <c r="EBI63" s="4"/>
      <c r="EBQ63" s="4"/>
      <c r="EBY63" s="4"/>
      <c r="ECG63" s="4"/>
      <c r="ECO63" s="4"/>
      <c r="ECW63" s="4"/>
      <c r="EDE63" s="4"/>
      <c r="EDM63" s="4"/>
      <c r="EDU63" s="4"/>
      <c r="EEC63" s="4"/>
      <c r="EEK63" s="4"/>
      <c r="EES63" s="4"/>
      <c r="EFA63" s="4"/>
      <c r="EFI63" s="4"/>
      <c r="EFQ63" s="4"/>
      <c r="EFY63" s="4"/>
      <c r="EGG63" s="4"/>
      <c r="EGO63" s="4"/>
      <c r="EGW63" s="4"/>
      <c r="EHE63" s="4"/>
      <c r="EHM63" s="4"/>
      <c r="EHU63" s="4"/>
      <c r="EIC63" s="4"/>
      <c r="EIK63" s="4"/>
      <c r="EIS63" s="4"/>
      <c r="EJA63" s="4"/>
      <c r="EJI63" s="4"/>
      <c r="EJQ63" s="4"/>
      <c r="EJY63" s="4"/>
      <c r="EKG63" s="4"/>
      <c r="EKO63" s="4"/>
      <c r="EKW63" s="4"/>
      <c r="ELE63" s="4"/>
      <c r="ELM63" s="4"/>
      <c r="ELU63" s="4"/>
      <c r="EMC63" s="4"/>
      <c r="EMK63" s="4"/>
      <c r="EMS63" s="4"/>
      <c r="ENA63" s="4"/>
      <c r="ENI63" s="4"/>
      <c r="ENQ63" s="4"/>
      <c r="ENY63" s="4"/>
      <c r="EOG63" s="4"/>
      <c r="EOO63" s="4"/>
      <c r="EOW63" s="4"/>
      <c r="EPE63" s="4"/>
      <c r="EPM63" s="4"/>
      <c r="EPU63" s="4"/>
      <c r="EQC63" s="4"/>
      <c r="EQK63" s="4"/>
      <c r="EQS63" s="4"/>
      <c r="ERA63" s="4"/>
      <c r="ERI63" s="4"/>
      <c r="ERQ63" s="4"/>
      <c r="ERY63" s="4"/>
      <c r="ESG63" s="4"/>
      <c r="ESO63" s="4"/>
      <c r="ESW63" s="4"/>
      <c r="ETE63" s="4"/>
      <c r="ETM63" s="4"/>
      <c r="ETU63" s="4"/>
      <c r="EUC63" s="4"/>
      <c r="EUK63" s="4"/>
      <c r="EUS63" s="4"/>
      <c r="EVA63" s="4"/>
      <c r="EVI63" s="4"/>
      <c r="EVQ63" s="4"/>
      <c r="EVY63" s="4"/>
      <c r="EWG63" s="4"/>
      <c r="EWO63" s="4"/>
      <c r="EWW63" s="4"/>
      <c r="EXE63" s="4"/>
      <c r="EXM63" s="4"/>
      <c r="EXU63" s="4"/>
      <c r="EYC63" s="4"/>
      <c r="EYK63" s="4"/>
      <c r="EYS63" s="4"/>
      <c r="EZA63" s="4"/>
      <c r="EZI63" s="4"/>
      <c r="EZQ63" s="4"/>
      <c r="EZY63" s="4"/>
      <c r="FAG63" s="4"/>
      <c r="FAO63" s="4"/>
      <c r="FAW63" s="4"/>
      <c r="FBE63" s="4"/>
      <c r="FBM63" s="4"/>
      <c r="FBU63" s="4"/>
      <c r="FCC63" s="4"/>
      <c r="FCK63" s="4"/>
      <c r="FCS63" s="4"/>
      <c r="FDA63" s="4"/>
      <c r="FDI63" s="4"/>
      <c r="FDQ63" s="4"/>
      <c r="FDY63" s="4"/>
      <c r="FEG63" s="4"/>
      <c r="FEO63" s="4"/>
      <c r="FEW63" s="4"/>
      <c r="FFE63" s="4"/>
      <c r="FFM63" s="4"/>
      <c r="FFU63" s="4"/>
      <c r="FGC63" s="4"/>
      <c r="FGK63" s="4"/>
      <c r="FGS63" s="4"/>
      <c r="FHA63" s="4"/>
      <c r="FHI63" s="4"/>
      <c r="FHQ63" s="4"/>
      <c r="FHY63" s="4"/>
      <c r="FIG63" s="4"/>
      <c r="FIO63" s="4"/>
      <c r="FIW63" s="4"/>
      <c r="FJE63" s="4"/>
      <c r="FJM63" s="4"/>
      <c r="FJU63" s="4"/>
      <c r="FKC63" s="4"/>
      <c r="FKK63" s="4"/>
      <c r="FKS63" s="4"/>
      <c r="FLA63" s="4"/>
      <c r="FLI63" s="4"/>
      <c r="FLQ63" s="4"/>
      <c r="FLY63" s="4"/>
      <c r="FMG63" s="4"/>
      <c r="FMO63" s="4"/>
      <c r="FMW63" s="4"/>
      <c r="FNE63" s="4"/>
      <c r="FNM63" s="4"/>
      <c r="FNU63" s="4"/>
      <c r="FOC63" s="4"/>
      <c r="FOK63" s="4"/>
      <c r="FOS63" s="4"/>
      <c r="FPA63" s="4"/>
      <c r="FPI63" s="4"/>
      <c r="FPQ63" s="4"/>
      <c r="FPY63" s="4"/>
      <c r="FQG63" s="4"/>
      <c r="FQO63" s="4"/>
      <c r="FQW63" s="4"/>
      <c r="FRE63" s="4"/>
      <c r="FRM63" s="4"/>
      <c r="FRU63" s="4"/>
      <c r="FSC63" s="4"/>
      <c r="FSK63" s="4"/>
      <c r="FSS63" s="4"/>
      <c r="FTA63" s="4"/>
      <c r="FTI63" s="4"/>
      <c r="FTQ63" s="4"/>
      <c r="FTY63" s="4"/>
      <c r="FUG63" s="4"/>
      <c r="FUO63" s="4"/>
      <c r="FUW63" s="4"/>
      <c r="FVE63" s="4"/>
      <c r="FVM63" s="4"/>
      <c r="FVU63" s="4"/>
      <c r="FWC63" s="4"/>
      <c r="FWK63" s="4"/>
      <c r="FWS63" s="4"/>
      <c r="FXA63" s="4"/>
      <c r="FXI63" s="4"/>
      <c r="FXQ63" s="4"/>
      <c r="FXY63" s="4"/>
      <c r="FYG63" s="4"/>
      <c r="FYO63" s="4"/>
      <c r="FYW63" s="4"/>
      <c r="FZE63" s="4"/>
      <c r="FZM63" s="4"/>
      <c r="FZU63" s="4"/>
      <c r="GAC63" s="4"/>
      <c r="GAK63" s="4"/>
      <c r="GAS63" s="4"/>
      <c r="GBA63" s="4"/>
      <c r="GBI63" s="4"/>
      <c r="GBQ63" s="4"/>
      <c r="GBY63" s="4"/>
      <c r="GCG63" s="4"/>
      <c r="GCO63" s="4"/>
      <c r="GCW63" s="4"/>
      <c r="GDE63" s="4"/>
      <c r="GDM63" s="4"/>
      <c r="GDU63" s="4"/>
      <c r="GEC63" s="4"/>
      <c r="GEK63" s="4"/>
      <c r="GES63" s="4"/>
      <c r="GFA63" s="4"/>
      <c r="GFI63" s="4"/>
      <c r="GFQ63" s="4"/>
      <c r="GFY63" s="4"/>
      <c r="GGG63" s="4"/>
      <c r="GGO63" s="4"/>
      <c r="GGW63" s="4"/>
      <c r="GHE63" s="4"/>
      <c r="GHM63" s="4"/>
      <c r="GHU63" s="4"/>
      <c r="GIC63" s="4"/>
      <c r="GIK63" s="4"/>
      <c r="GIS63" s="4"/>
      <c r="GJA63" s="4"/>
      <c r="GJI63" s="4"/>
      <c r="GJQ63" s="4"/>
      <c r="GJY63" s="4"/>
      <c r="GKG63" s="4"/>
      <c r="GKO63" s="4"/>
      <c r="GKW63" s="4"/>
      <c r="GLE63" s="4"/>
      <c r="GLM63" s="4"/>
      <c r="GLU63" s="4"/>
      <c r="GMC63" s="4"/>
      <c r="GMK63" s="4"/>
      <c r="GMS63" s="4"/>
      <c r="GNA63" s="4"/>
      <c r="GNI63" s="4"/>
      <c r="GNQ63" s="4"/>
      <c r="GNY63" s="4"/>
      <c r="GOG63" s="4"/>
      <c r="GOO63" s="4"/>
      <c r="GOW63" s="4"/>
      <c r="GPE63" s="4"/>
      <c r="GPM63" s="4"/>
      <c r="GPU63" s="4"/>
      <c r="GQC63" s="4"/>
      <c r="GQK63" s="4"/>
      <c r="GQS63" s="4"/>
      <c r="GRA63" s="4"/>
      <c r="GRI63" s="4"/>
      <c r="GRQ63" s="4"/>
      <c r="GRY63" s="4"/>
      <c r="GSG63" s="4"/>
      <c r="GSO63" s="4"/>
      <c r="GSW63" s="4"/>
      <c r="GTE63" s="4"/>
      <c r="GTM63" s="4"/>
      <c r="GTU63" s="4"/>
      <c r="GUC63" s="4"/>
      <c r="GUK63" s="4"/>
      <c r="GUS63" s="4"/>
      <c r="GVA63" s="4"/>
      <c r="GVI63" s="4"/>
      <c r="GVQ63" s="4"/>
      <c r="GVY63" s="4"/>
      <c r="GWG63" s="4"/>
      <c r="GWO63" s="4"/>
      <c r="GWW63" s="4"/>
      <c r="GXE63" s="4"/>
      <c r="GXM63" s="4"/>
      <c r="GXU63" s="4"/>
      <c r="GYC63" s="4"/>
      <c r="GYK63" s="4"/>
      <c r="GYS63" s="4"/>
      <c r="GZA63" s="4"/>
      <c r="GZI63" s="4"/>
      <c r="GZQ63" s="4"/>
      <c r="GZY63" s="4"/>
      <c r="HAG63" s="4"/>
      <c r="HAO63" s="4"/>
      <c r="HAW63" s="4"/>
      <c r="HBE63" s="4"/>
      <c r="HBM63" s="4"/>
      <c r="HBU63" s="4"/>
      <c r="HCC63" s="4"/>
      <c r="HCK63" s="4"/>
      <c r="HCS63" s="4"/>
      <c r="HDA63" s="4"/>
      <c r="HDI63" s="4"/>
      <c r="HDQ63" s="4"/>
      <c r="HDY63" s="4"/>
      <c r="HEG63" s="4"/>
      <c r="HEO63" s="4"/>
      <c r="HEW63" s="4"/>
      <c r="HFE63" s="4"/>
      <c r="HFM63" s="4"/>
      <c r="HFU63" s="4"/>
      <c r="HGC63" s="4"/>
      <c r="HGK63" s="4"/>
      <c r="HGS63" s="4"/>
      <c r="HHA63" s="4"/>
      <c r="HHI63" s="4"/>
      <c r="HHQ63" s="4"/>
      <c r="HHY63" s="4"/>
      <c r="HIG63" s="4"/>
      <c r="HIO63" s="4"/>
      <c r="HIW63" s="4"/>
      <c r="HJE63" s="4"/>
      <c r="HJM63" s="4"/>
      <c r="HJU63" s="4"/>
      <c r="HKC63" s="4"/>
      <c r="HKK63" s="4"/>
      <c r="HKS63" s="4"/>
      <c r="HLA63" s="4"/>
      <c r="HLI63" s="4"/>
      <c r="HLQ63" s="4"/>
      <c r="HLY63" s="4"/>
      <c r="HMG63" s="4"/>
      <c r="HMO63" s="4"/>
      <c r="HMW63" s="4"/>
      <c r="HNE63" s="4"/>
      <c r="HNM63" s="4"/>
      <c r="HNU63" s="4"/>
      <c r="HOC63" s="4"/>
      <c r="HOK63" s="4"/>
      <c r="HOS63" s="4"/>
      <c r="HPA63" s="4"/>
      <c r="HPI63" s="4"/>
      <c r="HPQ63" s="4"/>
      <c r="HPY63" s="4"/>
      <c r="HQG63" s="4"/>
      <c r="HQO63" s="4"/>
      <c r="HQW63" s="4"/>
      <c r="HRE63" s="4"/>
      <c r="HRM63" s="4"/>
      <c r="HRU63" s="4"/>
      <c r="HSC63" s="4"/>
      <c r="HSK63" s="4"/>
      <c r="HSS63" s="4"/>
      <c r="HTA63" s="4"/>
      <c r="HTI63" s="4"/>
      <c r="HTQ63" s="4"/>
      <c r="HTY63" s="4"/>
      <c r="HUG63" s="4"/>
      <c r="HUO63" s="4"/>
      <c r="HUW63" s="4"/>
      <c r="HVE63" s="4"/>
      <c r="HVM63" s="4"/>
      <c r="HVU63" s="4"/>
      <c r="HWC63" s="4"/>
      <c r="HWK63" s="4"/>
      <c r="HWS63" s="4"/>
      <c r="HXA63" s="4"/>
      <c r="HXI63" s="4"/>
      <c r="HXQ63" s="4"/>
      <c r="HXY63" s="4"/>
      <c r="HYG63" s="4"/>
      <c r="HYO63" s="4"/>
      <c r="HYW63" s="4"/>
      <c r="HZE63" s="4"/>
      <c r="HZM63" s="4"/>
      <c r="HZU63" s="4"/>
      <c r="IAC63" s="4"/>
      <c r="IAK63" s="4"/>
      <c r="IAS63" s="4"/>
      <c r="IBA63" s="4"/>
      <c r="IBI63" s="4"/>
      <c r="IBQ63" s="4"/>
      <c r="IBY63" s="4"/>
      <c r="ICG63" s="4"/>
      <c r="ICO63" s="4"/>
      <c r="ICW63" s="4"/>
      <c r="IDE63" s="4"/>
      <c r="IDM63" s="4"/>
      <c r="IDU63" s="4"/>
      <c r="IEC63" s="4"/>
      <c r="IEK63" s="4"/>
      <c r="IES63" s="4"/>
      <c r="IFA63" s="4"/>
      <c r="IFI63" s="4"/>
      <c r="IFQ63" s="4"/>
      <c r="IFY63" s="4"/>
      <c r="IGG63" s="4"/>
      <c r="IGO63" s="4"/>
      <c r="IGW63" s="4"/>
      <c r="IHE63" s="4"/>
      <c r="IHM63" s="4"/>
      <c r="IHU63" s="4"/>
      <c r="IIC63" s="4"/>
      <c r="IIK63" s="4"/>
      <c r="IIS63" s="4"/>
      <c r="IJA63" s="4"/>
      <c r="IJI63" s="4"/>
      <c r="IJQ63" s="4"/>
      <c r="IJY63" s="4"/>
      <c r="IKG63" s="4"/>
      <c r="IKO63" s="4"/>
      <c r="IKW63" s="4"/>
      <c r="ILE63" s="4"/>
      <c r="ILM63" s="4"/>
      <c r="ILU63" s="4"/>
      <c r="IMC63" s="4"/>
      <c r="IMK63" s="4"/>
      <c r="IMS63" s="4"/>
      <c r="INA63" s="4"/>
      <c r="INI63" s="4"/>
      <c r="INQ63" s="4"/>
      <c r="INY63" s="4"/>
      <c r="IOG63" s="4"/>
      <c r="IOO63" s="4"/>
      <c r="IOW63" s="4"/>
      <c r="IPE63" s="4"/>
      <c r="IPM63" s="4"/>
      <c r="IPU63" s="4"/>
      <c r="IQC63" s="4"/>
      <c r="IQK63" s="4"/>
      <c r="IQS63" s="4"/>
      <c r="IRA63" s="4"/>
      <c r="IRI63" s="4"/>
      <c r="IRQ63" s="4"/>
      <c r="IRY63" s="4"/>
      <c r="ISG63" s="4"/>
      <c r="ISO63" s="4"/>
      <c r="ISW63" s="4"/>
      <c r="ITE63" s="4"/>
      <c r="ITM63" s="4"/>
      <c r="ITU63" s="4"/>
      <c r="IUC63" s="4"/>
      <c r="IUK63" s="4"/>
      <c r="IUS63" s="4"/>
      <c r="IVA63" s="4"/>
      <c r="IVI63" s="4"/>
      <c r="IVQ63" s="4"/>
      <c r="IVY63" s="4"/>
      <c r="IWG63" s="4"/>
      <c r="IWO63" s="4"/>
      <c r="IWW63" s="4"/>
      <c r="IXE63" s="4"/>
      <c r="IXM63" s="4"/>
      <c r="IXU63" s="4"/>
      <c r="IYC63" s="4"/>
      <c r="IYK63" s="4"/>
      <c r="IYS63" s="4"/>
      <c r="IZA63" s="4"/>
      <c r="IZI63" s="4"/>
      <c r="IZQ63" s="4"/>
      <c r="IZY63" s="4"/>
      <c r="JAG63" s="4"/>
      <c r="JAO63" s="4"/>
      <c r="JAW63" s="4"/>
      <c r="JBE63" s="4"/>
      <c r="JBM63" s="4"/>
      <c r="JBU63" s="4"/>
      <c r="JCC63" s="4"/>
      <c r="JCK63" s="4"/>
      <c r="JCS63" s="4"/>
      <c r="JDA63" s="4"/>
      <c r="JDI63" s="4"/>
      <c r="JDQ63" s="4"/>
      <c r="JDY63" s="4"/>
      <c r="JEG63" s="4"/>
      <c r="JEO63" s="4"/>
      <c r="JEW63" s="4"/>
      <c r="JFE63" s="4"/>
      <c r="JFM63" s="4"/>
      <c r="JFU63" s="4"/>
      <c r="JGC63" s="4"/>
      <c r="JGK63" s="4"/>
      <c r="JGS63" s="4"/>
      <c r="JHA63" s="4"/>
      <c r="JHI63" s="4"/>
      <c r="JHQ63" s="4"/>
      <c r="JHY63" s="4"/>
      <c r="JIG63" s="4"/>
      <c r="JIO63" s="4"/>
      <c r="JIW63" s="4"/>
      <c r="JJE63" s="4"/>
      <c r="JJM63" s="4"/>
      <c r="JJU63" s="4"/>
      <c r="JKC63" s="4"/>
      <c r="JKK63" s="4"/>
      <c r="JKS63" s="4"/>
      <c r="JLA63" s="4"/>
      <c r="JLI63" s="4"/>
      <c r="JLQ63" s="4"/>
      <c r="JLY63" s="4"/>
      <c r="JMG63" s="4"/>
      <c r="JMO63" s="4"/>
      <c r="JMW63" s="4"/>
      <c r="JNE63" s="4"/>
      <c r="JNM63" s="4"/>
      <c r="JNU63" s="4"/>
      <c r="JOC63" s="4"/>
      <c r="JOK63" s="4"/>
      <c r="JOS63" s="4"/>
      <c r="JPA63" s="4"/>
      <c r="JPI63" s="4"/>
      <c r="JPQ63" s="4"/>
      <c r="JPY63" s="4"/>
      <c r="JQG63" s="4"/>
      <c r="JQO63" s="4"/>
      <c r="JQW63" s="4"/>
      <c r="JRE63" s="4"/>
      <c r="JRM63" s="4"/>
      <c r="JRU63" s="4"/>
      <c r="JSC63" s="4"/>
      <c r="JSK63" s="4"/>
      <c r="JSS63" s="4"/>
      <c r="JTA63" s="4"/>
      <c r="JTI63" s="4"/>
      <c r="JTQ63" s="4"/>
      <c r="JTY63" s="4"/>
      <c r="JUG63" s="4"/>
      <c r="JUO63" s="4"/>
      <c r="JUW63" s="4"/>
      <c r="JVE63" s="4"/>
      <c r="JVM63" s="4"/>
      <c r="JVU63" s="4"/>
      <c r="JWC63" s="4"/>
      <c r="JWK63" s="4"/>
      <c r="JWS63" s="4"/>
      <c r="JXA63" s="4"/>
      <c r="JXI63" s="4"/>
      <c r="JXQ63" s="4"/>
      <c r="JXY63" s="4"/>
      <c r="JYG63" s="4"/>
      <c r="JYO63" s="4"/>
      <c r="JYW63" s="4"/>
      <c r="JZE63" s="4"/>
      <c r="JZM63" s="4"/>
      <c r="JZU63" s="4"/>
      <c r="KAC63" s="4"/>
      <c r="KAK63" s="4"/>
      <c r="KAS63" s="4"/>
      <c r="KBA63" s="4"/>
      <c r="KBI63" s="4"/>
      <c r="KBQ63" s="4"/>
      <c r="KBY63" s="4"/>
      <c r="KCG63" s="4"/>
      <c r="KCO63" s="4"/>
      <c r="KCW63" s="4"/>
      <c r="KDE63" s="4"/>
      <c r="KDM63" s="4"/>
      <c r="KDU63" s="4"/>
      <c r="KEC63" s="4"/>
      <c r="KEK63" s="4"/>
      <c r="KES63" s="4"/>
      <c r="KFA63" s="4"/>
      <c r="KFI63" s="4"/>
      <c r="KFQ63" s="4"/>
      <c r="KFY63" s="4"/>
      <c r="KGG63" s="4"/>
      <c r="KGO63" s="4"/>
      <c r="KGW63" s="4"/>
      <c r="KHE63" s="4"/>
      <c r="KHM63" s="4"/>
      <c r="KHU63" s="4"/>
      <c r="KIC63" s="4"/>
      <c r="KIK63" s="4"/>
      <c r="KIS63" s="4"/>
      <c r="KJA63" s="4"/>
      <c r="KJI63" s="4"/>
      <c r="KJQ63" s="4"/>
      <c r="KJY63" s="4"/>
      <c r="KKG63" s="4"/>
      <c r="KKO63" s="4"/>
      <c r="KKW63" s="4"/>
      <c r="KLE63" s="4"/>
      <c r="KLM63" s="4"/>
      <c r="KLU63" s="4"/>
      <c r="KMC63" s="4"/>
      <c r="KMK63" s="4"/>
      <c r="KMS63" s="4"/>
      <c r="KNA63" s="4"/>
      <c r="KNI63" s="4"/>
      <c r="KNQ63" s="4"/>
      <c r="KNY63" s="4"/>
      <c r="KOG63" s="4"/>
      <c r="KOO63" s="4"/>
      <c r="KOW63" s="4"/>
      <c r="KPE63" s="4"/>
      <c r="KPM63" s="4"/>
      <c r="KPU63" s="4"/>
      <c r="KQC63" s="4"/>
      <c r="KQK63" s="4"/>
      <c r="KQS63" s="4"/>
      <c r="KRA63" s="4"/>
      <c r="KRI63" s="4"/>
      <c r="KRQ63" s="4"/>
      <c r="KRY63" s="4"/>
      <c r="KSG63" s="4"/>
      <c r="KSO63" s="4"/>
      <c r="KSW63" s="4"/>
      <c r="KTE63" s="4"/>
      <c r="KTM63" s="4"/>
      <c r="KTU63" s="4"/>
      <c r="KUC63" s="4"/>
      <c r="KUK63" s="4"/>
      <c r="KUS63" s="4"/>
      <c r="KVA63" s="4"/>
      <c r="KVI63" s="4"/>
      <c r="KVQ63" s="4"/>
      <c r="KVY63" s="4"/>
      <c r="KWG63" s="4"/>
      <c r="KWO63" s="4"/>
      <c r="KWW63" s="4"/>
      <c r="KXE63" s="4"/>
      <c r="KXM63" s="4"/>
      <c r="KXU63" s="4"/>
      <c r="KYC63" s="4"/>
      <c r="KYK63" s="4"/>
      <c r="KYS63" s="4"/>
      <c r="KZA63" s="4"/>
      <c r="KZI63" s="4"/>
      <c r="KZQ63" s="4"/>
      <c r="KZY63" s="4"/>
      <c r="LAG63" s="4"/>
      <c r="LAO63" s="4"/>
      <c r="LAW63" s="4"/>
      <c r="LBE63" s="4"/>
      <c r="LBM63" s="4"/>
      <c r="LBU63" s="4"/>
      <c r="LCC63" s="4"/>
      <c r="LCK63" s="4"/>
      <c r="LCS63" s="4"/>
      <c r="LDA63" s="4"/>
      <c r="LDI63" s="4"/>
      <c r="LDQ63" s="4"/>
      <c r="LDY63" s="4"/>
      <c r="LEG63" s="4"/>
      <c r="LEO63" s="4"/>
      <c r="LEW63" s="4"/>
      <c r="LFE63" s="4"/>
      <c r="LFM63" s="4"/>
      <c r="LFU63" s="4"/>
      <c r="LGC63" s="4"/>
      <c r="LGK63" s="4"/>
      <c r="LGS63" s="4"/>
      <c r="LHA63" s="4"/>
      <c r="LHI63" s="4"/>
      <c r="LHQ63" s="4"/>
      <c r="LHY63" s="4"/>
      <c r="LIG63" s="4"/>
      <c r="LIO63" s="4"/>
      <c r="LIW63" s="4"/>
      <c r="LJE63" s="4"/>
      <c r="LJM63" s="4"/>
      <c r="LJU63" s="4"/>
      <c r="LKC63" s="4"/>
      <c r="LKK63" s="4"/>
      <c r="LKS63" s="4"/>
      <c r="LLA63" s="4"/>
      <c r="LLI63" s="4"/>
      <c r="LLQ63" s="4"/>
      <c r="LLY63" s="4"/>
      <c r="LMG63" s="4"/>
      <c r="LMO63" s="4"/>
      <c r="LMW63" s="4"/>
      <c r="LNE63" s="4"/>
      <c r="LNM63" s="4"/>
      <c r="LNU63" s="4"/>
      <c r="LOC63" s="4"/>
      <c r="LOK63" s="4"/>
      <c r="LOS63" s="4"/>
      <c r="LPA63" s="4"/>
      <c r="LPI63" s="4"/>
      <c r="LPQ63" s="4"/>
      <c r="LPY63" s="4"/>
      <c r="LQG63" s="4"/>
      <c r="LQO63" s="4"/>
      <c r="LQW63" s="4"/>
      <c r="LRE63" s="4"/>
      <c r="LRM63" s="4"/>
      <c r="LRU63" s="4"/>
      <c r="LSC63" s="4"/>
      <c r="LSK63" s="4"/>
      <c r="LSS63" s="4"/>
      <c r="LTA63" s="4"/>
      <c r="LTI63" s="4"/>
      <c r="LTQ63" s="4"/>
      <c r="LTY63" s="4"/>
      <c r="LUG63" s="4"/>
      <c r="LUO63" s="4"/>
      <c r="LUW63" s="4"/>
      <c r="LVE63" s="4"/>
      <c r="LVM63" s="4"/>
      <c r="LVU63" s="4"/>
      <c r="LWC63" s="4"/>
      <c r="LWK63" s="4"/>
      <c r="LWS63" s="4"/>
      <c r="LXA63" s="4"/>
      <c r="LXI63" s="4"/>
      <c r="LXQ63" s="4"/>
      <c r="LXY63" s="4"/>
      <c r="LYG63" s="4"/>
      <c r="LYO63" s="4"/>
      <c r="LYW63" s="4"/>
      <c r="LZE63" s="4"/>
      <c r="LZM63" s="4"/>
      <c r="LZU63" s="4"/>
      <c r="MAC63" s="4"/>
      <c r="MAK63" s="4"/>
      <c r="MAS63" s="4"/>
      <c r="MBA63" s="4"/>
      <c r="MBI63" s="4"/>
      <c r="MBQ63" s="4"/>
      <c r="MBY63" s="4"/>
      <c r="MCG63" s="4"/>
      <c r="MCO63" s="4"/>
      <c r="MCW63" s="4"/>
      <c r="MDE63" s="4"/>
      <c r="MDM63" s="4"/>
      <c r="MDU63" s="4"/>
      <c r="MEC63" s="4"/>
      <c r="MEK63" s="4"/>
      <c r="MES63" s="4"/>
      <c r="MFA63" s="4"/>
      <c r="MFI63" s="4"/>
      <c r="MFQ63" s="4"/>
      <c r="MFY63" s="4"/>
      <c r="MGG63" s="4"/>
      <c r="MGO63" s="4"/>
      <c r="MGW63" s="4"/>
      <c r="MHE63" s="4"/>
      <c r="MHM63" s="4"/>
      <c r="MHU63" s="4"/>
      <c r="MIC63" s="4"/>
      <c r="MIK63" s="4"/>
      <c r="MIS63" s="4"/>
      <c r="MJA63" s="4"/>
      <c r="MJI63" s="4"/>
      <c r="MJQ63" s="4"/>
      <c r="MJY63" s="4"/>
      <c r="MKG63" s="4"/>
      <c r="MKO63" s="4"/>
      <c r="MKW63" s="4"/>
      <c r="MLE63" s="4"/>
      <c r="MLM63" s="4"/>
      <c r="MLU63" s="4"/>
      <c r="MMC63" s="4"/>
      <c r="MMK63" s="4"/>
      <c r="MMS63" s="4"/>
      <c r="MNA63" s="4"/>
      <c r="MNI63" s="4"/>
      <c r="MNQ63" s="4"/>
      <c r="MNY63" s="4"/>
      <c r="MOG63" s="4"/>
      <c r="MOO63" s="4"/>
      <c r="MOW63" s="4"/>
      <c r="MPE63" s="4"/>
      <c r="MPM63" s="4"/>
      <c r="MPU63" s="4"/>
      <c r="MQC63" s="4"/>
      <c r="MQK63" s="4"/>
      <c r="MQS63" s="4"/>
      <c r="MRA63" s="4"/>
      <c r="MRI63" s="4"/>
      <c r="MRQ63" s="4"/>
      <c r="MRY63" s="4"/>
      <c r="MSG63" s="4"/>
      <c r="MSO63" s="4"/>
      <c r="MSW63" s="4"/>
      <c r="MTE63" s="4"/>
      <c r="MTM63" s="4"/>
      <c r="MTU63" s="4"/>
      <c r="MUC63" s="4"/>
      <c r="MUK63" s="4"/>
      <c r="MUS63" s="4"/>
      <c r="MVA63" s="4"/>
      <c r="MVI63" s="4"/>
      <c r="MVQ63" s="4"/>
      <c r="MVY63" s="4"/>
      <c r="MWG63" s="4"/>
      <c r="MWO63" s="4"/>
      <c r="MWW63" s="4"/>
      <c r="MXE63" s="4"/>
      <c r="MXM63" s="4"/>
      <c r="MXU63" s="4"/>
      <c r="MYC63" s="4"/>
      <c r="MYK63" s="4"/>
      <c r="MYS63" s="4"/>
      <c r="MZA63" s="4"/>
      <c r="MZI63" s="4"/>
      <c r="MZQ63" s="4"/>
      <c r="MZY63" s="4"/>
      <c r="NAG63" s="4"/>
      <c r="NAO63" s="4"/>
      <c r="NAW63" s="4"/>
      <c r="NBE63" s="4"/>
      <c r="NBM63" s="4"/>
      <c r="NBU63" s="4"/>
      <c r="NCC63" s="4"/>
      <c r="NCK63" s="4"/>
      <c r="NCS63" s="4"/>
      <c r="NDA63" s="4"/>
      <c r="NDI63" s="4"/>
      <c r="NDQ63" s="4"/>
      <c r="NDY63" s="4"/>
      <c r="NEG63" s="4"/>
      <c r="NEO63" s="4"/>
      <c r="NEW63" s="4"/>
      <c r="NFE63" s="4"/>
      <c r="NFM63" s="4"/>
      <c r="NFU63" s="4"/>
      <c r="NGC63" s="4"/>
      <c r="NGK63" s="4"/>
      <c r="NGS63" s="4"/>
      <c r="NHA63" s="4"/>
      <c r="NHI63" s="4"/>
      <c r="NHQ63" s="4"/>
      <c r="NHY63" s="4"/>
      <c r="NIG63" s="4"/>
      <c r="NIO63" s="4"/>
      <c r="NIW63" s="4"/>
      <c r="NJE63" s="4"/>
      <c r="NJM63" s="4"/>
      <c r="NJU63" s="4"/>
      <c r="NKC63" s="4"/>
      <c r="NKK63" s="4"/>
      <c r="NKS63" s="4"/>
      <c r="NLA63" s="4"/>
      <c r="NLI63" s="4"/>
      <c r="NLQ63" s="4"/>
      <c r="NLY63" s="4"/>
      <c r="NMG63" s="4"/>
      <c r="NMO63" s="4"/>
      <c r="NMW63" s="4"/>
      <c r="NNE63" s="4"/>
      <c r="NNM63" s="4"/>
      <c r="NNU63" s="4"/>
      <c r="NOC63" s="4"/>
      <c r="NOK63" s="4"/>
      <c r="NOS63" s="4"/>
      <c r="NPA63" s="4"/>
      <c r="NPI63" s="4"/>
      <c r="NPQ63" s="4"/>
      <c r="NPY63" s="4"/>
      <c r="NQG63" s="4"/>
      <c r="NQO63" s="4"/>
      <c r="NQW63" s="4"/>
      <c r="NRE63" s="4"/>
      <c r="NRM63" s="4"/>
      <c r="NRU63" s="4"/>
      <c r="NSC63" s="4"/>
      <c r="NSK63" s="4"/>
      <c r="NSS63" s="4"/>
      <c r="NTA63" s="4"/>
      <c r="NTI63" s="4"/>
      <c r="NTQ63" s="4"/>
      <c r="NTY63" s="4"/>
      <c r="NUG63" s="4"/>
      <c r="NUO63" s="4"/>
      <c r="NUW63" s="4"/>
      <c r="NVE63" s="4"/>
      <c r="NVM63" s="4"/>
      <c r="NVU63" s="4"/>
      <c r="NWC63" s="4"/>
      <c r="NWK63" s="4"/>
      <c r="NWS63" s="4"/>
      <c r="NXA63" s="4"/>
      <c r="NXI63" s="4"/>
      <c r="NXQ63" s="4"/>
      <c r="NXY63" s="4"/>
      <c r="NYG63" s="4"/>
      <c r="NYO63" s="4"/>
      <c r="NYW63" s="4"/>
      <c r="NZE63" s="4"/>
      <c r="NZM63" s="4"/>
      <c r="NZU63" s="4"/>
      <c r="OAC63" s="4"/>
      <c r="OAK63" s="4"/>
      <c r="OAS63" s="4"/>
      <c r="OBA63" s="4"/>
      <c r="OBI63" s="4"/>
      <c r="OBQ63" s="4"/>
      <c r="OBY63" s="4"/>
      <c r="OCG63" s="4"/>
      <c r="OCO63" s="4"/>
      <c r="OCW63" s="4"/>
      <c r="ODE63" s="4"/>
      <c r="ODM63" s="4"/>
      <c r="ODU63" s="4"/>
      <c r="OEC63" s="4"/>
      <c r="OEK63" s="4"/>
      <c r="OES63" s="4"/>
      <c r="OFA63" s="4"/>
      <c r="OFI63" s="4"/>
      <c r="OFQ63" s="4"/>
      <c r="OFY63" s="4"/>
      <c r="OGG63" s="4"/>
      <c r="OGO63" s="4"/>
      <c r="OGW63" s="4"/>
      <c r="OHE63" s="4"/>
      <c r="OHM63" s="4"/>
      <c r="OHU63" s="4"/>
      <c r="OIC63" s="4"/>
      <c r="OIK63" s="4"/>
      <c r="OIS63" s="4"/>
      <c r="OJA63" s="4"/>
      <c r="OJI63" s="4"/>
      <c r="OJQ63" s="4"/>
      <c r="OJY63" s="4"/>
      <c r="OKG63" s="4"/>
      <c r="OKO63" s="4"/>
      <c r="OKW63" s="4"/>
      <c r="OLE63" s="4"/>
      <c r="OLM63" s="4"/>
      <c r="OLU63" s="4"/>
      <c r="OMC63" s="4"/>
      <c r="OMK63" s="4"/>
      <c r="OMS63" s="4"/>
      <c r="ONA63" s="4"/>
      <c r="ONI63" s="4"/>
      <c r="ONQ63" s="4"/>
      <c r="ONY63" s="4"/>
      <c r="OOG63" s="4"/>
      <c r="OOO63" s="4"/>
      <c r="OOW63" s="4"/>
      <c r="OPE63" s="4"/>
      <c r="OPM63" s="4"/>
      <c r="OPU63" s="4"/>
      <c r="OQC63" s="4"/>
      <c r="OQK63" s="4"/>
      <c r="OQS63" s="4"/>
      <c r="ORA63" s="4"/>
      <c r="ORI63" s="4"/>
      <c r="ORQ63" s="4"/>
      <c r="ORY63" s="4"/>
      <c r="OSG63" s="4"/>
      <c r="OSO63" s="4"/>
      <c r="OSW63" s="4"/>
      <c r="OTE63" s="4"/>
      <c r="OTM63" s="4"/>
      <c r="OTU63" s="4"/>
      <c r="OUC63" s="4"/>
      <c r="OUK63" s="4"/>
      <c r="OUS63" s="4"/>
      <c r="OVA63" s="4"/>
      <c r="OVI63" s="4"/>
      <c r="OVQ63" s="4"/>
      <c r="OVY63" s="4"/>
      <c r="OWG63" s="4"/>
      <c r="OWO63" s="4"/>
      <c r="OWW63" s="4"/>
      <c r="OXE63" s="4"/>
      <c r="OXM63" s="4"/>
      <c r="OXU63" s="4"/>
      <c r="OYC63" s="4"/>
      <c r="OYK63" s="4"/>
      <c r="OYS63" s="4"/>
      <c r="OZA63" s="4"/>
      <c r="OZI63" s="4"/>
      <c r="OZQ63" s="4"/>
      <c r="OZY63" s="4"/>
      <c r="PAG63" s="4"/>
      <c r="PAO63" s="4"/>
      <c r="PAW63" s="4"/>
      <c r="PBE63" s="4"/>
      <c r="PBM63" s="4"/>
      <c r="PBU63" s="4"/>
      <c r="PCC63" s="4"/>
      <c r="PCK63" s="4"/>
      <c r="PCS63" s="4"/>
      <c r="PDA63" s="4"/>
      <c r="PDI63" s="4"/>
      <c r="PDQ63" s="4"/>
      <c r="PDY63" s="4"/>
      <c r="PEG63" s="4"/>
      <c r="PEO63" s="4"/>
      <c r="PEW63" s="4"/>
      <c r="PFE63" s="4"/>
      <c r="PFM63" s="4"/>
      <c r="PFU63" s="4"/>
      <c r="PGC63" s="4"/>
      <c r="PGK63" s="4"/>
      <c r="PGS63" s="4"/>
      <c r="PHA63" s="4"/>
      <c r="PHI63" s="4"/>
      <c r="PHQ63" s="4"/>
      <c r="PHY63" s="4"/>
      <c r="PIG63" s="4"/>
      <c r="PIO63" s="4"/>
      <c r="PIW63" s="4"/>
      <c r="PJE63" s="4"/>
      <c r="PJM63" s="4"/>
      <c r="PJU63" s="4"/>
      <c r="PKC63" s="4"/>
      <c r="PKK63" s="4"/>
      <c r="PKS63" s="4"/>
      <c r="PLA63" s="4"/>
      <c r="PLI63" s="4"/>
      <c r="PLQ63" s="4"/>
      <c r="PLY63" s="4"/>
      <c r="PMG63" s="4"/>
      <c r="PMO63" s="4"/>
      <c r="PMW63" s="4"/>
      <c r="PNE63" s="4"/>
      <c r="PNM63" s="4"/>
      <c r="PNU63" s="4"/>
      <c r="POC63" s="4"/>
      <c r="POK63" s="4"/>
      <c r="POS63" s="4"/>
      <c r="PPA63" s="4"/>
      <c r="PPI63" s="4"/>
      <c r="PPQ63" s="4"/>
      <c r="PPY63" s="4"/>
      <c r="PQG63" s="4"/>
      <c r="PQO63" s="4"/>
      <c r="PQW63" s="4"/>
      <c r="PRE63" s="4"/>
      <c r="PRM63" s="4"/>
      <c r="PRU63" s="4"/>
      <c r="PSC63" s="4"/>
      <c r="PSK63" s="4"/>
      <c r="PSS63" s="4"/>
      <c r="PTA63" s="4"/>
      <c r="PTI63" s="4"/>
      <c r="PTQ63" s="4"/>
      <c r="PTY63" s="4"/>
      <c r="PUG63" s="4"/>
      <c r="PUO63" s="4"/>
      <c r="PUW63" s="4"/>
      <c r="PVE63" s="4"/>
      <c r="PVM63" s="4"/>
      <c r="PVU63" s="4"/>
      <c r="PWC63" s="4"/>
      <c r="PWK63" s="4"/>
      <c r="PWS63" s="4"/>
      <c r="PXA63" s="4"/>
      <c r="PXI63" s="4"/>
      <c r="PXQ63" s="4"/>
      <c r="PXY63" s="4"/>
      <c r="PYG63" s="4"/>
      <c r="PYO63" s="4"/>
      <c r="PYW63" s="4"/>
      <c r="PZE63" s="4"/>
      <c r="PZM63" s="4"/>
      <c r="PZU63" s="4"/>
      <c r="QAC63" s="4"/>
      <c r="QAK63" s="4"/>
      <c r="QAS63" s="4"/>
      <c r="QBA63" s="4"/>
      <c r="QBI63" s="4"/>
      <c r="QBQ63" s="4"/>
      <c r="QBY63" s="4"/>
      <c r="QCG63" s="4"/>
      <c r="QCO63" s="4"/>
      <c r="QCW63" s="4"/>
      <c r="QDE63" s="4"/>
      <c r="QDM63" s="4"/>
      <c r="QDU63" s="4"/>
      <c r="QEC63" s="4"/>
      <c r="QEK63" s="4"/>
      <c r="QES63" s="4"/>
      <c r="QFA63" s="4"/>
      <c r="QFI63" s="4"/>
      <c r="QFQ63" s="4"/>
      <c r="QFY63" s="4"/>
      <c r="QGG63" s="4"/>
      <c r="QGO63" s="4"/>
      <c r="QGW63" s="4"/>
      <c r="QHE63" s="4"/>
      <c r="QHM63" s="4"/>
      <c r="QHU63" s="4"/>
      <c r="QIC63" s="4"/>
      <c r="QIK63" s="4"/>
      <c r="QIS63" s="4"/>
      <c r="QJA63" s="4"/>
      <c r="QJI63" s="4"/>
      <c r="QJQ63" s="4"/>
      <c r="QJY63" s="4"/>
      <c r="QKG63" s="4"/>
      <c r="QKO63" s="4"/>
      <c r="QKW63" s="4"/>
      <c r="QLE63" s="4"/>
      <c r="QLM63" s="4"/>
      <c r="QLU63" s="4"/>
      <c r="QMC63" s="4"/>
      <c r="QMK63" s="4"/>
      <c r="QMS63" s="4"/>
      <c r="QNA63" s="4"/>
      <c r="QNI63" s="4"/>
      <c r="QNQ63" s="4"/>
      <c r="QNY63" s="4"/>
      <c r="QOG63" s="4"/>
      <c r="QOO63" s="4"/>
      <c r="QOW63" s="4"/>
      <c r="QPE63" s="4"/>
      <c r="QPM63" s="4"/>
      <c r="QPU63" s="4"/>
      <c r="QQC63" s="4"/>
      <c r="QQK63" s="4"/>
      <c r="QQS63" s="4"/>
      <c r="QRA63" s="4"/>
      <c r="QRI63" s="4"/>
      <c r="QRQ63" s="4"/>
      <c r="QRY63" s="4"/>
      <c r="QSG63" s="4"/>
      <c r="QSO63" s="4"/>
      <c r="QSW63" s="4"/>
      <c r="QTE63" s="4"/>
      <c r="QTM63" s="4"/>
      <c r="QTU63" s="4"/>
      <c r="QUC63" s="4"/>
      <c r="QUK63" s="4"/>
      <c r="QUS63" s="4"/>
      <c r="QVA63" s="4"/>
      <c r="QVI63" s="4"/>
      <c r="QVQ63" s="4"/>
      <c r="QVY63" s="4"/>
      <c r="QWG63" s="4"/>
      <c r="QWO63" s="4"/>
      <c r="QWW63" s="4"/>
      <c r="QXE63" s="4"/>
      <c r="QXM63" s="4"/>
      <c r="QXU63" s="4"/>
      <c r="QYC63" s="4"/>
      <c r="QYK63" s="4"/>
      <c r="QYS63" s="4"/>
      <c r="QZA63" s="4"/>
      <c r="QZI63" s="4"/>
      <c r="QZQ63" s="4"/>
      <c r="QZY63" s="4"/>
      <c r="RAG63" s="4"/>
      <c r="RAO63" s="4"/>
      <c r="RAW63" s="4"/>
      <c r="RBE63" s="4"/>
      <c r="RBM63" s="4"/>
      <c r="RBU63" s="4"/>
      <c r="RCC63" s="4"/>
      <c r="RCK63" s="4"/>
      <c r="RCS63" s="4"/>
      <c r="RDA63" s="4"/>
      <c r="RDI63" s="4"/>
      <c r="RDQ63" s="4"/>
      <c r="RDY63" s="4"/>
      <c r="REG63" s="4"/>
      <c r="REO63" s="4"/>
      <c r="REW63" s="4"/>
      <c r="RFE63" s="4"/>
      <c r="RFM63" s="4"/>
      <c r="RFU63" s="4"/>
      <c r="RGC63" s="4"/>
      <c r="RGK63" s="4"/>
      <c r="RGS63" s="4"/>
      <c r="RHA63" s="4"/>
      <c r="RHI63" s="4"/>
      <c r="RHQ63" s="4"/>
      <c r="RHY63" s="4"/>
      <c r="RIG63" s="4"/>
      <c r="RIO63" s="4"/>
      <c r="RIW63" s="4"/>
      <c r="RJE63" s="4"/>
      <c r="RJM63" s="4"/>
      <c r="RJU63" s="4"/>
      <c r="RKC63" s="4"/>
      <c r="RKK63" s="4"/>
      <c r="RKS63" s="4"/>
      <c r="RLA63" s="4"/>
      <c r="RLI63" s="4"/>
      <c r="RLQ63" s="4"/>
      <c r="RLY63" s="4"/>
      <c r="RMG63" s="4"/>
      <c r="RMO63" s="4"/>
      <c r="RMW63" s="4"/>
      <c r="RNE63" s="4"/>
      <c r="RNM63" s="4"/>
      <c r="RNU63" s="4"/>
      <c r="ROC63" s="4"/>
      <c r="ROK63" s="4"/>
      <c r="ROS63" s="4"/>
      <c r="RPA63" s="4"/>
      <c r="RPI63" s="4"/>
      <c r="RPQ63" s="4"/>
      <c r="RPY63" s="4"/>
      <c r="RQG63" s="4"/>
      <c r="RQO63" s="4"/>
      <c r="RQW63" s="4"/>
      <c r="RRE63" s="4"/>
      <c r="RRM63" s="4"/>
      <c r="RRU63" s="4"/>
      <c r="RSC63" s="4"/>
      <c r="RSK63" s="4"/>
      <c r="RSS63" s="4"/>
      <c r="RTA63" s="4"/>
      <c r="RTI63" s="4"/>
      <c r="RTQ63" s="4"/>
      <c r="RTY63" s="4"/>
      <c r="RUG63" s="4"/>
      <c r="RUO63" s="4"/>
      <c r="RUW63" s="4"/>
      <c r="RVE63" s="4"/>
      <c r="RVM63" s="4"/>
      <c r="RVU63" s="4"/>
      <c r="RWC63" s="4"/>
      <c r="RWK63" s="4"/>
      <c r="RWS63" s="4"/>
      <c r="RXA63" s="4"/>
      <c r="RXI63" s="4"/>
      <c r="RXQ63" s="4"/>
      <c r="RXY63" s="4"/>
      <c r="RYG63" s="4"/>
      <c r="RYO63" s="4"/>
      <c r="RYW63" s="4"/>
      <c r="RZE63" s="4"/>
      <c r="RZM63" s="4"/>
      <c r="RZU63" s="4"/>
      <c r="SAC63" s="4"/>
      <c r="SAK63" s="4"/>
      <c r="SAS63" s="4"/>
      <c r="SBA63" s="4"/>
      <c r="SBI63" s="4"/>
      <c r="SBQ63" s="4"/>
      <c r="SBY63" s="4"/>
      <c r="SCG63" s="4"/>
      <c r="SCO63" s="4"/>
      <c r="SCW63" s="4"/>
      <c r="SDE63" s="4"/>
      <c r="SDM63" s="4"/>
      <c r="SDU63" s="4"/>
      <c r="SEC63" s="4"/>
      <c r="SEK63" s="4"/>
      <c r="SES63" s="4"/>
      <c r="SFA63" s="4"/>
      <c r="SFI63" s="4"/>
      <c r="SFQ63" s="4"/>
      <c r="SFY63" s="4"/>
      <c r="SGG63" s="4"/>
      <c r="SGO63" s="4"/>
      <c r="SGW63" s="4"/>
      <c r="SHE63" s="4"/>
      <c r="SHM63" s="4"/>
      <c r="SHU63" s="4"/>
      <c r="SIC63" s="4"/>
      <c r="SIK63" s="4"/>
      <c r="SIS63" s="4"/>
      <c r="SJA63" s="4"/>
      <c r="SJI63" s="4"/>
      <c r="SJQ63" s="4"/>
      <c r="SJY63" s="4"/>
      <c r="SKG63" s="4"/>
      <c r="SKO63" s="4"/>
      <c r="SKW63" s="4"/>
      <c r="SLE63" s="4"/>
      <c r="SLM63" s="4"/>
      <c r="SLU63" s="4"/>
      <c r="SMC63" s="4"/>
      <c r="SMK63" s="4"/>
      <c r="SMS63" s="4"/>
      <c r="SNA63" s="4"/>
      <c r="SNI63" s="4"/>
      <c r="SNQ63" s="4"/>
      <c r="SNY63" s="4"/>
      <c r="SOG63" s="4"/>
      <c r="SOO63" s="4"/>
      <c r="SOW63" s="4"/>
      <c r="SPE63" s="4"/>
      <c r="SPM63" s="4"/>
      <c r="SPU63" s="4"/>
      <c r="SQC63" s="4"/>
      <c r="SQK63" s="4"/>
      <c r="SQS63" s="4"/>
      <c r="SRA63" s="4"/>
      <c r="SRI63" s="4"/>
      <c r="SRQ63" s="4"/>
      <c r="SRY63" s="4"/>
      <c r="SSG63" s="4"/>
      <c r="SSO63" s="4"/>
      <c r="SSW63" s="4"/>
      <c r="STE63" s="4"/>
      <c r="STM63" s="4"/>
      <c r="STU63" s="4"/>
      <c r="SUC63" s="4"/>
      <c r="SUK63" s="4"/>
      <c r="SUS63" s="4"/>
      <c r="SVA63" s="4"/>
      <c r="SVI63" s="4"/>
      <c r="SVQ63" s="4"/>
      <c r="SVY63" s="4"/>
      <c r="SWG63" s="4"/>
      <c r="SWO63" s="4"/>
      <c r="SWW63" s="4"/>
      <c r="SXE63" s="4"/>
      <c r="SXM63" s="4"/>
      <c r="SXU63" s="4"/>
      <c r="SYC63" s="4"/>
      <c r="SYK63" s="4"/>
      <c r="SYS63" s="4"/>
      <c r="SZA63" s="4"/>
      <c r="SZI63" s="4"/>
      <c r="SZQ63" s="4"/>
      <c r="SZY63" s="4"/>
      <c r="TAG63" s="4"/>
      <c r="TAO63" s="4"/>
      <c r="TAW63" s="4"/>
      <c r="TBE63" s="4"/>
      <c r="TBM63" s="4"/>
      <c r="TBU63" s="4"/>
      <c r="TCC63" s="4"/>
      <c r="TCK63" s="4"/>
      <c r="TCS63" s="4"/>
      <c r="TDA63" s="4"/>
      <c r="TDI63" s="4"/>
      <c r="TDQ63" s="4"/>
      <c r="TDY63" s="4"/>
      <c r="TEG63" s="4"/>
      <c r="TEO63" s="4"/>
      <c r="TEW63" s="4"/>
      <c r="TFE63" s="4"/>
      <c r="TFM63" s="4"/>
      <c r="TFU63" s="4"/>
      <c r="TGC63" s="4"/>
      <c r="TGK63" s="4"/>
      <c r="TGS63" s="4"/>
      <c r="THA63" s="4"/>
      <c r="THI63" s="4"/>
      <c r="THQ63" s="4"/>
      <c r="THY63" s="4"/>
      <c r="TIG63" s="4"/>
      <c r="TIO63" s="4"/>
      <c r="TIW63" s="4"/>
      <c r="TJE63" s="4"/>
      <c r="TJM63" s="4"/>
      <c r="TJU63" s="4"/>
      <c r="TKC63" s="4"/>
      <c r="TKK63" s="4"/>
      <c r="TKS63" s="4"/>
      <c r="TLA63" s="4"/>
      <c r="TLI63" s="4"/>
      <c r="TLQ63" s="4"/>
      <c r="TLY63" s="4"/>
      <c r="TMG63" s="4"/>
      <c r="TMO63" s="4"/>
      <c r="TMW63" s="4"/>
      <c r="TNE63" s="4"/>
      <c r="TNM63" s="4"/>
      <c r="TNU63" s="4"/>
      <c r="TOC63" s="4"/>
      <c r="TOK63" s="4"/>
      <c r="TOS63" s="4"/>
      <c r="TPA63" s="4"/>
      <c r="TPI63" s="4"/>
      <c r="TPQ63" s="4"/>
      <c r="TPY63" s="4"/>
      <c r="TQG63" s="4"/>
      <c r="TQO63" s="4"/>
      <c r="TQW63" s="4"/>
      <c r="TRE63" s="4"/>
      <c r="TRM63" s="4"/>
      <c r="TRU63" s="4"/>
      <c r="TSC63" s="4"/>
      <c r="TSK63" s="4"/>
      <c r="TSS63" s="4"/>
      <c r="TTA63" s="4"/>
      <c r="TTI63" s="4"/>
      <c r="TTQ63" s="4"/>
      <c r="TTY63" s="4"/>
      <c r="TUG63" s="4"/>
      <c r="TUO63" s="4"/>
      <c r="TUW63" s="4"/>
      <c r="TVE63" s="4"/>
      <c r="TVM63" s="4"/>
      <c r="TVU63" s="4"/>
      <c r="TWC63" s="4"/>
      <c r="TWK63" s="4"/>
      <c r="TWS63" s="4"/>
      <c r="TXA63" s="4"/>
      <c r="TXI63" s="4"/>
      <c r="TXQ63" s="4"/>
      <c r="TXY63" s="4"/>
      <c r="TYG63" s="4"/>
      <c r="TYO63" s="4"/>
      <c r="TYW63" s="4"/>
      <c r="TZE63" s="4"/>
      <c r="TZM63" s="4"/>
      <c r="TZU63" s="4"/>
      <c r="UAC63" s="4"/>
      <c r="UAK63" s="4"/>
      <c r="UAS63" s="4"/>
      <c r="UBA63" s="4"/>
      <c r="UBI63" s="4"/>
      <c r="UBQ63" s="4"/>
      <c r="UBY63" s="4"/>
      <c r="UCG63" s="4"/>
      <c r="UCO63" s="4"/>
      <c r="UCW63" s="4"/>
      <c r="UDE63" s="4"/>
      <c r="UDM63" s="4"/>
      <c r="UDU63" s="4"/>
      <c r="UEC63" s="4"/>
      <c r="UEK63" s="4"/>
      <c r="UES63" s="4"/>
      <c r="UFA63" s="4"/>
      <c r="UFI63" s="4"/>
      <c r="UFQ63" s="4"/>
      <c r="UFY63" s="4"/>
      <c r="UGG63" s="4"/>
      <c r="UGO63" s="4"/>
      <c r="UGW63" s="4"/>
      <c r="UHE63" s="4"/>
      <c r="UHM63" s="4"/>
      <c r="UHU63" s="4"/>
      <c r="UIC63" s="4"/>
      <c r="UIK63" s="4"/>
      <c r="UIS63" s="4"/>
      <c r="UJA63" s="4"/>
      <c r="UJI63" s="4"/>
      <c r="UJQ63" s="4"/>
      <c r="UJY63" s="4"/>
      <c r="UKG63" s="4"/>
      <c r="UKO63" s="4"/>
      <c r="UKW63" s="4"/>
      <c r="ULE63" s="4"/>
      <c r="ULM63" s="4"/>
      <c r="ULU63" s="4"/>
      <c r="UMC63" s="4"/>
      <c r="UMK63" s="4"/>
      <c r="UMS63" s="4"/>
      <c r="UNA63" s="4"/>
      <c r="UNI63" s="4"/>
      <c r="UNQ63" s="4"/>
      <c r="UNY63" s="4"/>
      <c r="UOG63" s="4"/>
      <c r="UOO63" s="4"/>
      <c r="UOW63" s="4"/>
      <c r="UPE63" s="4"/>
      <c r="UPM63" s="4"/>
      <c r="UPU63" s="4"/>
      <c r="UQC63" s="4"/>
      <c r="UQK63" s="4"/>
      <c r="UQS63" s="4"/>
      <c r="URA63" s="4"/>
      <c r="URI63" s="4"/>
      <c r="URQ63" s="4"/>
      <c r="URY63" s="4"/>
      <c r="USG63" s="4"/>
      <c r="USO63" s="4"/>
      <c r="USW63" s="4"/>
      <c r="UTE63" s="4"/>
      <c r="UTM63" s="4"/>
      <c r="UTU63" s="4"/>
      <c r="UUC63" s="4"/>
      <c r="UUK63" s="4"/>
      <c r="UUS63" s="4"/>
      <c r="UVA63" s="4"/>
      <c r="UVI63" s="4"/>
      <c r="UVQ63" s="4"/>
      <c r="UVY63" s="4"/>
      <c r="UWG63" s="4"/>
      <c r="UWO63" s="4"/>
      <c r="UWW63" s="4"/>
      <c r="UXE63" s="4"/>
      <c r="UXM63" s="4"/>
      <c r="UXU63" s="4"/>
      <c r="UYC63" s="4"/>
      <c r="UYK63" s="4"/>
      <c r="UYS63" s="4"/>
      <c r="UZA63" s="4"/>
      <c r="UZI63" s="4"/>
      <c r="UZQ63" s="4"/>
      <c r="UZY63" s="4"/>
      <c r="VAG63" s="4"/>
      <c r="VAO63" s="4"/>
      <c r="VAW63" s="4"/>
      <c r="VBE63" s="4"/>
      <c r="VBM63" s="4"/>
      <c r="VBU63" s="4"/>
      <c r="VCC63" s="4"/>
      <c r="VCK63" s="4"/>
      <c r="VCS63" s="4"/>
      <c r="VDA63" s="4"/>
      <c r="VDI63" s="4"/>
      <c r="VDQ63" s="4"/>
      <c r="VDY63" s="4"/>
      <c r="VEG63" s="4"/>
      <c r="VEO63" s="4"/>
      <c r="VEW63" s="4"/>
      <c r="VFE63" s="4"/>
      <c r="VFM63" s="4"/>
      <c r="VFU63" s="4"/>
      <c r="VGC63" s="4"/>
      <c r="VGK63" s="4"/>
      <c r="VGS63" s="4"/>
      <c r="VHA63" s="4"/>
      <c r="VHI63" s="4"/>
      <c r="VHQ63" s="4"/>
      <c r="VHY63" s="4"/>
      <c r="VIG63" s="4"/>
      <c r="VIO63" s="4"/>
      <c r="VIW63" s="4"/>
      <c r="VJE63" s="4"/>
      <c r="VJM63" s="4"/>
      <c r="VJU63" s="4"/>
      <c r="VKC63" s="4"/>
      <c r="VKK63" s="4"/>
      <c r="VKS63" s="4"/>
      <c r="VLA63" s="4"/>
      <c r="VLI63" s="4"/>
      <c r="VLQ63" s="4"/>
      <c r="VLY63" s="4"/>
      <c r="VMG63" s="4"/>
      <c r="VMO63" s="4"/>
      <c r="VMW63" s="4"/>
      <c r="VNE63" s="4"/>
      <c r="VNM63" s="4"/>
      <c r="VNU63" s="4"/>
      <c r="VOC63" s="4"/>
      <c r="VOK63" s="4"/>
      <c r="VOS63" s="4"/>
      <c r="VPA63" s="4"/>
      <c r="VPI63" s="4"/>
      <c r="VPQ63" s="4"/>
      <c r="VPY63" s="4"/>
      <c r="VQG63" s="4"/>
      <c r="VQO63" s="4"/>
      <c r="VQW63" s="4"/>
      <c r="VRE63" s="4"/>
      <c r="VRM63" s="4"/>
      <c r="VRU63" s="4"/>
      <c r="VSC63" s="4"/>
      <c r="VSK63" s="4"/>
      <c r="VSS63" s="4"/>
      <c r="VTA63" s="4"/>
      <c r="VTI63" s="4"/>
      <c r="VTQ63" s="4"/>
      <c r="VTY63" s="4"/>
      <c r="VUG63" s="4"/>
      <c r="VUO63" s="4"/>
      <c r="VUW63" s="4"/>
      <c r="VVE63" s="4"/>
      <c r="VVM63" s="4"/>
      <c r="VVU63" s="4"/>
      <c r="VWC63" s="4"/>
      <c r="VWK63" s="4"/>
      <c r="VWS63" s="4"/>
      <c r="VXA63" s="4"/>
      <c r="VXI63" s="4"/>
      <c r="VXQ63" s="4"/>
      <c r="VXY63" s="4"/>
      <c r="VYG63" s="4"/>
      <c r="VYO63" s="4"/>
      <c r="VYW63" s="4"/>
      <c r="VZE63" s="4"/>
      <c r="VZM63" s="4"/>
      <c r="VZU63" s="4"/>
      <c r="WAC63" s="4"/>
      <c r="WAK63" s="4"/>
      <c r="WAS63" s="4"/>
      <c r="WBA63" s="4"/>
      <c r="WBI63" s="4"/>
      <c r="WBQ63" s="4"/>
      <c r="WBY63" s="4"/>
      <c r="WCG63" s="4"/>
      <c r="WCO63" s="4"/>
      <c r="WCW63" s="4"/>
      <c r="WDE63" s="4"/>
      <c r="WDM63" s="4"/>
      <c r="WDU63" s="4"/>
      <c r="WEC63" s="4"/>
      <c r="WEK63" s="4"/>
      <c r="WES63" s="4"/>
      <c r="WFA63" s="4"/>
      <c r="WFI63" s="4"/>
      <c r="WFQ63" s="4"/>
      <c r="WFY63" s="4"/>
      <c r="WGG63" s="4"/>
      <c r="WGO63" s="4"/>
      <c r="WGW63" s="4"/>
      <c r="WHE63" s="4"/>
      <c r="WHM63" s="4"/>
      <c r="WHU63" s="4"/>
      <c r="WIC63" s="4"/>
      <c r="WIK63" s="4"/>
      <c r="WIS63" s="4"/>
      <c r="WJA63" s="4"/>
      <c r="WJI63" s="4"/>
      <c r="WJQ63" s="4"/>
      <c r="WJY63" s="4"/>
      <c r="WKG63" s="4"/>
      <c r="WKO63" s="4"/>
      <c r="WKW63" s="4"/>
      <c r="WLE63" s="4"/>
      <c r="WLM63" s="4"/>
      <c r="WLU63" s="4"/>
      <c r="WMC63" s="4"/>
      <c r="WMK63" s="4"/>
      <c r="WMS63" s="4"/>
      <c r="WNA63" s="4"/>
      <c r="WNI63" s="4"/>
      <c r="WNQ63" s="4"/>
      <c r="WNY63" s="4"/>
      <c r="WOG63" s="4"/>
      <c r="WOO63" s="4"/>
      <c r="WOW63" s="4"/>
      <c r="WPE63" s="4"/>
      <c r="WPM63" s="4"/>
      <c r="WPU63" s="4"/>
      <c r="WQC63" s="4"/>
      <c r="WQK63" s="4"/>
      <c r="WQS63" s="4"/>
      <c r="WRA63" s="4"/>
      <c r="WRI63" s="4"/>
      <c r="WRQ63" s="4"/>
      <c r="WRY63" s="4"/>
      <c r="WSG63" s="4"/>
      <c r="WSO63" s="4"/>
      <c r="WSW63" s="4"/>
      <c r="WTE63" s="4"/>
      <c r="WTM63" s="4"/>
      <c r="WTU63" s="4"/>
      <c r="WUC63" s="4"/>
      <c r="WUK63" s="4"/>
      <c r="WUS63" s="4"/>
      <c r="WVA63" s="4"/>
      <c r="WVI63" s="4"/>
      <c r="WVQ63" s="4"/>
      <c r="WVY63" s="4"/>
      <c r="WWG63" s="4"/>
      <c r="WWO63" s="4"/>
      <c r="WWW63" s="4"/>
      <c r="WXE63" s="4"/>
      <c r="WXM63" s="4"/>
      <c r="WXU63" s="4"/>
      <c r="WYC63" s="4"/>
      <c r="WYK63" s="4"/>
      <c r="WYS63" s="4"/>
      <c r="WZA63" s="4"/>
      <c r="WZI63" s="4"/>
      <c r="WZQ63" s="4"/>
      <c r="WZY63" s="4"/>
      <c r="XAG63" s="4"/>
      <c r="XAO63" s="4"/>
      <c r="XAW63" s="4"/>
      <c r="XBE63" s="4"/>
      <c r="XBM63" s="4"/>
      <c r="XBU63" s="4"/>
      <c r="XCC63" s="4"/>
      <c r="XCK63" s="4"/>
      <c r="XCS63" s="4"/>
      <c r="XDA63" s="4"/>
      <c r="XDI63" s="4"/>
      <c r="XDQ63" s="4"/>
      <c r="XDY63" s="4"/>
      <c r="XEG63" s="4"/>
      <c r="XEO63" s="4"/>
      <c r="XEW63" s="4"/>
    </row>
    <row r="65" spans="2:13" x14ac:dyDescent="0.35">
      <c r="B65" s="4"/>
    </row>
    <row r="66" spans="2:13" ht="16.5" x14ac:dyDescent="0.45">
      <c r="B66" s="1" t="s">
        <v>60</v>
      </c>
      <c r="C66" s="1">
        <f>1+(C67/(C6*C49/C21)+C68)*C9*((C34/1000*PI()*(C8)/(60))/(100))*SQRT((G7*G7)/(1+G7*G7))</f>
        <v>1.0331926056511629</v>
      </c>
      <c r="F66" s="1" t="s">
        <v>69</v>
      </c>
      <c r="G66" s="1">
        <f>1+(10*G67)/(G74)</f>
        <v>1.5986604819148444</v>
      </c>
      <c r="K66" s="1" t="s">
        <v>90</v>
      </c>
      <c r="L66" s="1">
        <f>SQRT((2*COS(C12*PI()/180)*COS(C28*PI()/180))/(POWER(COS(C27*PI()/180),2)*SIN(C28*PI()/180)))</f>
        <v>2.3517563221864441</v>
      </c>
    </row>
    <row r="67" spans="2:13" ht="16.5" x14ac:dyDescent="0.45">
      <c r="B67" s="11" t="s">
        <v>62</v>
      </c>
      <c r="C67" s="11">
        <v>8.3000000000000007</v>
      </c>
      <c r="D67" s="11" t="s">
        <v>63</v>
      </c>
      <c r="F67" s="1" t="s">
        <v>70</v>
      </c>
      <c r="G67" s="1">
        <f>G68-G72</f>
        <v>17.544</v>
      </c>
      <c r="H67" s="4" t="s">
        <v>74</v>
      </c>
      <c r="K67" s="1" t="s">
        <v>91</v>
      </c>
      <c r="L67" s="1">
        <f>SQRT(0.35/((1/C19)+(1/C20)))</f>
        <v>191.70289512680813</v>
      </c>
    </row>
    <row r="68" spans="2:13" ht="16.5" x14ac:dyDescent="0.45">
      <c r="B68" s="11" t="s">
        <v>61</v>
      </c>
      <c r="C68" s="11">
        <v>8.6999999999999994E-3</v>
      </c>
      <c r="D68" s="11" t="s">
        <v>63</v>
      </c>
      <c r="F68" s="1" t="s">
        <v>71</v>
      </c>
      <c r="G68" s="1">
        <f>1.33*G69+G71</f>
        <v>20.64</v>
      </c>
      <c r="H68" s="4" t="s">
        <v>74</v>
      </c>
      <c r="K68" s="1" t="s">
        <v>94</v>
      </c>
      <c r="L68" s="1">
        <f>IF(C12=0,SQRT((4-C41)/(3)),IF(C43&gt;=1,SQRT(1/C41),SQRT((4-C41)/(3)*(1-C43)+(C43/C41))))</f>
        <v>0.80498296229838329</v>
      </c>
    </row>
    <row r="69" spans="2:13" ht="16.5" x14ac:dyDescent="0.45">
      <c r="B69" s="11" t="s">
        <v>67</v>
      </c>
      <c r="C69" s="11">
        <v>1</v>
      </c>
      <c r="D69" s="11" t="s">
        <v>63</v>
      </c>
      <c r="F69" s="11" t="s">
        <v>72</v>
      </c>
      <c r="G69" s="11">
        <v>8</v>
      </c>
      <c r="H69" s="12" t="s">
        <v>74</v>
      </c>
      <c r="I69" s="11" t="str">
        <f>I71</f>
        <v xml:space="preserve"> II 10/9</v>
      </c>
      <c r="K69" s="1" t="s">
        <v>95</v>
      </c>
      <c r="L69" s="1">
        <f>SQRT(COS(C12*PI()/180))</f>
        <v>0.99237480470445638</v>
      </c>
    </row>
    <row r="70" spans="2:13" ht="16.5" x14ac:dyDescent="0.45">
      <c r="B70" s="1" t="s">
        <v>68</v>
      </c>
      <c r="C70" s="1">
        <f>IF(G66&lt;=2,G66,2)</f>
        <v>1.5986604819148444</v>
      </c>
      <c r="F70" s="1" t="s">
        <v>73</v>
      </c>
      <c r="G70" s="1">
        <f>G71</f>
        <v>10</v>
      </c>
      <c r="H70" s="4" t="s">
        <v>74</v>
      </c>
      <c r="K70" s="11" t="s">
        <v>96</v>
      </c>
      <c r="L70" s="11">
        <v>1</v>
      </c>
      <c r="M70" s="11" t="s">
        <v>63</v>
      </c>
    </row>
    <row r="71" spans="2:13" ht="16.5" x14ac:dyDescent="0.45">
      <c r="F71" s="11" t="s">
        <v>75</v>
      </c>
      <c r="G71" s="11">
        <v>10</v>
      </c>
      <c r="H71" s="12" t="s">
        <v>74</v>
      </c>
      <c r="I71" s="11" t="s">
        <v>76</v>
      </c>
    </row>
    <row r="72" spans="2:13" ht="16.5" x14ac:dyDescent="0.45">
      <c r="B72" s="11" t="s">
        <v>81</v>
      </c>
      <c r="C72" s="11">
        <v>3.95</v>
      </c>
      <c r="D72" s="11" t="s">
        <v>64</v>
      </c>
      <c r="F72" s="1" t="s">
        <v>77</v>
      </c>
      <c r="G72" s="1">
        <f>0.15*G68</f>
        <v>3.0960000000000001</v>
      </c>
      <c r="H72" s="4" t="s">
        <v>74</v>
      </c>
    </row>
    <row r="73" spans="2:13" ht="16.5" x14ac:dyDescent="0.45">
      <c r="B73" s="11" t="s">
        <v>80</v>
      </c>
      <c r="C73" s="11">
        <v>3.95</v>
      </c>
      <c r="D73" s="11" t="str">
        <f>D72</f>
        <v>II 10/10</v>
      </c>
      <c r="H73" s="4"/>
    </row>
    <row r="74" spans="2:13" ht="16.5" x14ac:dyDescent="0.45">
      <c r="B74" s="1" t="s">
        <v>65</v>
      </c>
      <c r="C74" s="1">
        <f>0.25+0.75*(POWER(COS(ATAN(TAN(C12*PI()/180)*COS(C27*PI()/180))),2)/(C41))</f>
        <v>0.72305780602703407</v>
      </c>
      <c r="F74" s="1" t="s">
        <v>78</v>
      </c>
      <c r="G74" s="1">
        <f>C66*C6*C49/C21</f>
        <v>293.05425245181823</v>
      </c>
      <c r="H74" s="1" t="s">
        <v>79</v>
      </c>
    </row>
    <row r="75" spans="2:13" ht="16.5" x14ac:dyDescent="0.45">
      <c r="B75" s="1" t="s">
        <v>66</v>
      </c>
      <c r="C75" s="1">
        <f>1-(IF(C43&gt;1,1,C43))*(IF(C12&gt;30,30,C12))/(120)</f>
        <v>0.91666666666666663</v>
      </c>
    </row>
  </sheetData>
  <mergeCells count="2">
    <mergeCell ref="J14:L17"/>
    <mergeCell ref="P18:R18"/>
  </mergeCells>
  <phoneticPr fontId="10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2021-03-29T12:00:59Z</dcterms:created>
  <dcterms:modified xsi:type="dcterms:W3CDTF">2021-05-11T12:51:08Z</dcterms:modified>
</cp:coreProperties>
</file>